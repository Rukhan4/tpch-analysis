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18687/Documents/Code/tpch-analysis/"/>
    </mc:Choice>
  </mc:AlternateContent>
  <xr:revisionPtr revIDLastSave="0" documentId="13_ncr:1_{F510EAF0-972D-9543-9507-13418EFCF146}" xr6:coauthVersionLast="47" xr6:coauthVersionMax="47" xr10:uidLastSave="{00000000-0000-0000-0000-000000000000}"/>
  <bookViews>
    <workbookView xWindow="0" yWindow="600" windowWidth="28800" windowHeight="16380" activeTab="6" xr2:uid="{886EA6A0-5D60-184B-9F8E-BE7191556824}"/>
  </bookViews>
  <sheets>
    <sheet name="annual_revenue" sheetId="7" r:id="rId1"/>
    <sheet name="shipmode_analysis" sheetId="8" r:id="rId2"/>
    <sheet name="Shipment Optimization" sheetId="12" r:id="rId3"/>
    <sheet name="delivery_delay_analysis" sheetId="11" r:id="rId4"/>
    <sheet name="top_customers" sheetId="10" r:id="rId5"/>
    <sheet name="top_suppliers" sheetId="9" r:id="rId6"/>
    <sheet name="Dashboard" sheetId="6" r:id="rId7"/>
  </sheets>
  <definedNames>
    <definedName name="ExternalData_1" localSheetId="0" hidden="1">annual_revenue!$A$1:$B$8</definedName>
    <definedName name="ExternalData_1" localSheetId="1" hidden="1">shipmode_analysis!$A$1:$C$8</definedName>
    <definedName name="ExternalData_1" localSheetId="5" hidden="1">top_suppliers!$A$1:$D$6</definedName>
    <definedName name="ExternalData_2" localSheetId="4" hidden="1">top_customers!$A$1:$C$11</definedName>
    <definedName name="ExternalData_3" localSheetId="3" hidden="1">delivery_delay_analysis!$A$1:$C$8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6" l="1"/>
  <c r="L9" i="6"/>
  <c r="L10" i="6"/>
  <c r="L11" i="6"/>
  <c r="L12" i="6"/>
  <c r="L13" i="6"/>
  <c r="L14" i="6"/>
  <c r="J8" i="6"/>
  <c r="J9" i="6"/>
  <c r="J10" i="6"/>
  <c r="J11" i="6"/>
  <c r="J12" i="6"/>
  <c r="J13" i="6"/>
  <c r="J14" i="6"/>
  <c r="I8" i="6"/>
  <c r="I9" i="6"/>
  <c r="I10" i="6"/>
  <c r="I11" i="6"/>
  <c r="I12" i="6"/>
  <c r="I13" i="6"/>
  <c r="I14" i="6"/>
  <c r="H9" i="6"/>
  <c r="H10" i="6"/>
  <c r="H11" i="6"/>
  <c r="H12" i="6"/>
  <c r="H13" i="6"/>
  <c r="H14" i="6"/>
  <c r="H8" i="6"/>
  <c r="H16" i="6" s="1"/>
  <c r="D6" i="12"/>
  <c r="D7" i="12"/>
  <c r="D2" i="12"/>
  <c r="D4" i="12"/>
  <c r="D8" i="12"/>
  <c r="D5" i="12"/>
  <c r="D3" i="12"/>
  <c r="C6" i="12"/>
  <c r="C7" i="12"/>
  <c r="C2" i="12"/>
  <c r="C4" i="12"/>
  <c r="C8" i="12"/>
  <c r="C5" i="12"/>
  <c r="C3" i="12"/>
  <c r="B6" i="12"/>
  <c r="B7" i="12"/>
  <c r="B2" i="12"/>
  <c r="B4" i="12"/>
  <c r="B8" i="12"/>
  <c r="B5" i="12"/>
  <c r="B3" i="12"/>
  <c r="E5" i="11"/>
  <c r="E2" i="11"/>
  <c r="E3" i="11"/>
  <c r="E4" i="11"/>
  <c r="E6" i="11"/>
  <c r="E7" i="11"/>
  <c r="E8" i="11"/>
  <c r="D2" i="11"/>
  <c r="D3" i="11"/>
  <c r="D4" i="11"/>
  <c r="D5" i="11"/>
  <c r="D6" i="11"/>
  <c r="D7" i="11"/>
  <c r="D8" i="11"/>
  <c r="E21" i="6"/>
  <c r="E20" i="6"/>
  <c r="E18" i="6"/>
  <c r="E19" i="6"/>
  <c r="E22" i="6"/>
  <c r="E23" i="6"/>
  <c r="E17" i="6"/>
  <c r="R13" i="6"/>
  <c r="R12" i="6"/>
  <c r="C7" i="9"/>
  <c r="E3" i="9" s="1"/>
  <c r="G5" i="6"/>
  <c r="C12" i="11"/>
  <c r="E8" i="6"/>
  <c r="E11" i="6"/>
  <c r="E6" i="6"/>
  <c r="B19" i="7"/>
  <c r="E7" i="6" s="1"/>
  <c r="B20" i="7"/>
  <c r="B21" i="7"/>
  <c r="E9" i="6" s="1"/>
  <c r="B22" i="7"/>
  <c r="E10" i="6" s="1"/>
  <c r="B23" i="7"/>
  <c r="B18" i="7"/>
  <c r="A5" i="6"/>
  <c r="H15" i="6" l="1"/>
  <c r="F8" i="12"/>
  <c r="E7" i="12"/>
  <c r="E6" i="12"/>
  <c r="F3" i="12"/>
  <c r="G3" i="12" s="1"/>
  <c r="E3" i="12"/>
  <c r="E2" i="12"/>
  <c r="F5" i="12"/>
  <c r="G5" i="12" s="1"/>
  <c r="E5" i="12"/>
  <c r="F2" i="12"/>
  <c r="G2" i="12" s="1"/>
  <c r="E8" i="12"/>
  <c r="G8" i="12" s="1"/>
  <c r="F7" i="12"/>
  <c r="E4" i="12"/>
  <c r="F6" i="12"/>
  <c r="G6" i="12" s="1"/>
  <c r="F4" i="12"/>
  <c r="E6" i="9"/>
  <c r="E5" i="9"/>
  <c r="E2" i="9"/>
  <c r="E4" i="9"/>
  <c r="G7" i="12" l="1"/>
  <c r="H8" i="12"/>
  <c r="G4" i="12"/>
  <c r="H4" i="12" s="1"/>
  <c r="H2" i="12"/>
  <c r="H5" i="12"/>
  <c r="H7" i="12"/>
  <c r="H3" i="12"/>
  <c r="H6" i="12"/>
  <c r="H1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4C85ED-5FD8-3D41-BCFE-2D160783D59E}" keepAlive="1" name="Query - annual_revenue" description="Connection to the 'annual_revenue' query in the workbook." type="5" refreshedVersion="8" background="1" saveData="1">
    <dbPr connection="Provider=Microsoft.Mashup.OleDb.1;Data Source=$Workbook$;Location=annual_revenue;Extended Properties=&quot;&quot;" command="SELECT * FROM [annual_revenue]"/>
  </connection>
  <connection id="2" xr16:uid="{5DA23B29-3E47-0047-BAE1-F7E98EEC31A7}" keepAlive="1" name="Query - delivery_delay_analysis" description="Connection to the 'delivery_delay_analysis' query in the workbook." type="5" refreshedVersion="8" background="1" saveData="1">
    <dbPr connection="Provider=Microsoft.Mashup.OleDb.1;Data Source=$Workbook$;Location=delivery_delay_analysis;Extended Properties=&quot;&quot;" command="SELECT * FROM [delivery_delay_analysis]"/>
  </connection>
  <connection id="3" xr16:uid="{678E5DF1-D89C-1746-82D0-C84885CE8C7B}" keepAlive="1" name="Query - shipmode_analysis" description="Connection to the 'shipmode_analysis' query in the workbook." type="5" refreshedVersion="8" background="1" saveData="1">
    <dbPr connection="Provider=Microsoft.Mashup.OleDb.1;Data Source=$Workbook$;Location=shipmode_analysis;Extended Properties=&quot;&quot;" command="SELECT * FROM [shipmode_analysis]"/>
  </connection>
  <connection id="4" xr16:uid="{9CDC1981-447F-1646-801D-28FA678089FB}" keepAlive="1" name="Query - top_customers" description="Connection to the 'top_customers' query in the workbook." type="5" refreshedVersion="8" background="1" saveData="1">
    <dbPr connection="Provider=Microsoft.Mashup.OleDb.1;Data Source=$Workbook$;Location=top_customers;Extended Properties=&quot;&quot;" command="SELECT * FROM [top_customers]"/>
  </connection>
  <connection id="5" xr16:uid="{4F897A0E-5CDE-DD47-834E-25E7AE462C5F}" keepAlive="1" name="Query - top_suppliers" description="Connection to the 'top_suppliers' query in the workbook." type="5" refreshedVersion="8" background="1" saveData="1">
    <dbPr connection="Provider=Microsoft.Mashup.OleDb.1;Data Source=$Workbook$;Location=top_suppliers;Extended Properties=&quot;&quot;" command="SELECT * FROM [top_suppliers]"/>
  </connection>
</connections>
</file>

<file path=xl/sharedStrings.xml><?xml version="1.0" encoding="utf-8"?>
<sst xmlns="http://schemas.openxmlformats.org/spreadsheetml/2006/main" count="118" uniqueCount="82">
  <si>
    <t>year</t>
  </si>
  <si>
    <t>total_revenue</t>
  </si>
  <si>
    <t>ship_mode</t>
  </si>
  <si>
    <t>shipment_count</t>
  </si>
  <si>
    <t>TRUCK</t>
  </si>
  <si>
    <t>MAIL</t>
  </si>
  <si>
    <t>FOB</t>
  </si>
  <si>
    <t>REG AIR</t>
  </si>
  <si>
    <t>RAIL</t>
  </si>
  <si>
    <t>AIR</t>
  </si>
  <si>
    <t>SHIP</t>
  </si>
  <si>
    <t>region</t>
  </si>
  <si>
    <t>supplier</t>
  </si>
  <si>
    <t>revenue</t>
  </si>
  <si>
    <t>rank</t>
  </si>
  <si>
    <t>AFRICA</t>
  </si>
  <si>
    <t>Supplier#000000028</t>
  </si>
  <si>
    <t>AMERICA</t>
  </si>
  <si>
    <t>Supplier#000000084</t>
  </si>
  <si>
    <t>ASIA</t>
  </si>
  <si>
    <t>Supplier#000000075</t>
  </si>
  <si>
    <t>EUROPE</t>
  </si>
  <si>
    <t>Supplier#000000090</t>
  </si>
  <si>
    <t>MIDDLE EAST</t>
  </si>
  <si>
    <t>Supplier#000000038</t>
  </si>
  <si>
    <t>C_CUSTKEY</t>
  </si>
  <si>
    <t>C_NAME</t>
  </si>
  <si>
    <t>total_spent</t>
  </si>
  <si>
    <t>Customer#000001489</t>
  </si>
  <si>
    <t>Customer#000000214</t>
  </si>
  <si>
    <t>Customer#000000073</t>
  </si>
  <si>
    <t>Customer#000001246</t>
  </si>
  <si>
    <t>Customer#000001396</t>
  </si>
  <si>
    <t>Customer#000000643</t>
  </si>
  <si>
    <t>Customer#000001318</t>
  </si>
  <si>
    <t>Customer#000001150</t>
  </si>
  <si>
    <t>Customer#000000898</t>
  </si>
  <si>
    <t>Customer#000000943</t>
  </si>
  <si>
    <t>delayed_count</t>
  </si>
  <si>
    <t>avg_delay_days</t>
  </si>
  <si>
    <t>Sum of total_revenue</t>
  </si>
  <si>
    <t>Grand Total</t>
  </si>
  <si>
    <t>Year</t>
  </si>
  <si>
    <t>YoY Growth %</t>
  </si>
  <si>
    <t>GROWTH RATE %</t>
  </si>
  <si>
    <t>AVERAGE SHIPMENT DELAY IN DAYS</t>
  </si>
  <si>
    <t>REVENUE CONTRIBUTION PER REGION</t>
  </si>
  <si>
    <t>Revenue % by Region</t>
  </si>
  <si>
    <t>Average of Revenue % by Region</t>
  </si>
  <si>
    <t>Average</t>
  </si>
  <si>
    <t>Region</t>
  </si>
  <si>
    <t>Max</t>
  </si>
  <si>
    <t>Min</t>
  </si>
  <si>
    <t>97-98</t>
  </si>
  <si>
    <t>92-93</t>
  </si>
  <si>
    <t>93-94</t>
  </si>
  <si>
    <t>94-95</t>
  </si>
  <si>
    <t>95-96</t>
  </si>
  <si>
    <t>96-97</t>
  </si>
  <si>
    <t>Growth %</t>
  </si>
  <si>
    <t>Expected Revenue?</t>
  </si>
  <si>
    <t>TOTAL REVENUE</t>
  </si>
  <si>
    <t>EXPECTED REVENUE</t>
  </si>
  <si>
    <t>total_delay_days</t>
  </si>
  <si>
    <t>impact</t>
  </si>
  <si>
    <t>COEFFICIENT OF VARIABILITY</t>
  </si>
  <si>
    <t>MEAN</t>
  </si>
  <si>
    <t>delay_impact</t>
  </si>
  <si>
    <t>revenue_per_shipment</t>
  </si>
  <si>
    <t>risk_adjusted_revenue</t>
  </si>
  <si>
    <t>optimization_score</t>
  </si>
  <si>
    <t>Delay impact averages 14.29% with 33% variability, indicating uneven operational risk across shipping modes.</t>
  </si>
  <si>
    <t>Revenue per shipment is tightly clustered (~33.8K–34.3K), showing minimal pricing differentiation.</t>
  </si>
  <si>
    <t>Higher delay exposure does not generate higher revenue, weakening the risk-return tradeoff in certain channels.</t>
  </si>
  <si>
    <t>REG AIR demonstrates the strongest risk-adjusted performance with the lowest delay impact (6.29%).</t>
  </si>
  <si>
    <t>FOB shows the weakest profile, combining the highest delay exposure (19.38%) with no revenue premium.</t>
  </si>
  <si>
    <t>Performance variability is driven by operational inefficiency rather than revenue strategy.</t>
  </si>
  <si>
    <t>rank by 
operational efficiency</t>
  </si>
  <si>
    <t>risk
adjusted
revenue</t>
  </si>
  <si>
    <t>revenue 
per 
shipment</t>
  </si>
  <si>
    <t>total 
delay 
impact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</si>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</sst>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$&quot;#,##0.00"/>
    <numFmt numFmtId="165" formatCode="0.000%"/>
    <numFmt numFmtId="166" formatCode="0.0000"/>
    <numFmt numFmtId="167" formatCode="#,##0.00000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9" tint="0.7999816888943144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9"/>
      </patternFill>
    </fill>
    <fill>
      <patternFill patternType="solid">
        <fgColor theme="9" tint="0.39997558519241921"/>
        <bgColor theme="9" tint="0.79998168889431442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165" fontId="0" fillId="0" borderId="0" xfId="0" applyNumberFormat="1"/>
    <xf numFmtId="10" fontId="3" fillId="0" borderId="0" xfId="0" applyNumberFormat="1" applyFont="1" applyAlignment="1">
      <alignment horizontal="center"/>
    </xf>
    <xf numFmtId="166" fontId="0" fillId="0" borderId="0" xfId="0" applyNumberFormat="1"/>
    <xf numFmtId="10" fontId="0" fillId="0" borderId="0" xfId="0" applyNumberFormat="1"/>
    <xf numFmtId="0" fontId="1" fillId="2" borderId="0" xfId="0" applyFont="1" applyFill="1" applyAlignment="1">
      <alignment horizontal="left"/>
    </xf>
    <xf numFmtId="0" fontId="3" fillId="0" borderId="0" xfId="0" applyFont="1"/>
    <xf numFmtId="0" fontId="0" fillId="0" borderId="2" xfId="0" applyBorder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0" fontId="1" fillId="2" borderId="0" xfId="0" applyNumberFormat="1" applyFont="1" applyFill="1" applyAlignment="1">
      <alignment horizontal="center"/>
    </xf>
    <xf numFmtId="0" fontId="5" fillId="3" borderId="3" xfId="0" applyFont="1" applyFill="1" applyBorder="1"/>
    <xf numFmtId="10" fontId="0" fillId="5" borderId="0" xfId="0" applyNumberFormat="1" applyFill="1" applyAlignment="1">
      <alignment horizontal="center"/>
    </xf>
    <xf numFmtId="0" fontId="1" fillId="4" borderId="1" xfId="0" applyFont="1" applyFill="1" applyBorder="1"/>
    <xf numFmtId="0" fontId="4" fillId="4" borderId="3" xfId="0" applyFont="1" applyFill="1" applyBorder="1"/>
    <xf numFmtId="0" fontId="0" fillId="0" borderId="4" xfId="0" applyBorder="1"/>
    <xf numFmtId="0" fontId="0" fillId="0" borderId="0" xfId="0" applyAlignment="1">
      <alignment vertical="top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0" fillId="2" borderId="0" xfId="0" applyFill="1" applyAlignment="1">
      <alignment horizontal="center"/>
    </xf>
    <xf numFmtId="167" fontId="2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7" fillId="2" borderId="0" xfId="0" applyFont="1" applyFill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theme="9"/>
        </left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alignment horizontal="center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tblRevenue" pivot="0" count="0" xr9:uid="{C1005FCF-3C3D-E947-8208-7A759BE0A5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Revenue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annual_revenue!$A$1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annual_revenue!$A$2:$A$8</c:f>
              <c:numCache>
                <c:formatCode>General</c:formatCode>
                <c:ptCount val="7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8F-9549-8D95-BB367703B523}"/>
            </c:ext>
          </c:extLst>
        </c:ser>
        <c:ser>
          <c:idx val="1"/>
          <c:order val="1"/>
          <c:tx>
            <c:strRef>
              <c:f>annual_revenue!$B$1</c:f>
              <c:strCache>
                <c:ptCount val="1"/>
                <c:pt idx="0">
                  <c:v>total_revenue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annual_revenue!$B$2:$B$8</c:f>
              <c:numCache>
                <c:formatCode>General</c:formatCode>
                <c:ptCount val="7"/>
                <c:pt idx="0">
                  <c:v>308482375.33999997</c:v>
                </c:pt>
                <c:pt idx="1">
                  <c:v>316544935.44</c:v>
                </c:pt>
                <c:pt idx="2">
                  <c:v>316270913.18000001</c:v>
                </c:pt>
                <c:pt idx="3">
                  <c:v>303910494.10000002</c:v>
                </c:pt>
                <c:pt idx="4">
                  <c:v>311928357.77999997</c:v>
                </c:pt>
                <c:pt idx="5">
                  <c:v>307992639.49000001</c:v>
                </c:pt>
                <c:pt idx="6">
                  <c:v>180005226.75999999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8F-9549-8D95-BB367703B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2065728"/>
        <c:axId val="1724021632"/>
      </c:lineChart>
      <c:catAx>
        <c:axId val="170206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021632"/>
        <c:crosses val="autoZero"/>
        <c:auto val="1"/>
        <c:lblAlgn val="ctr"/>
        <c:lblOffset val="100"/>
        <c:noMultiLvlLbl val="0"/>
      </c:catAx>
      <c:valAx>
        <c:axId val="172402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06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Delay in Delivery per Ship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delivery_delay_analysis!$A$2:$A$8</c:f>
              <c:strCache>
                <c:ptCount val="7"/>
                <c:pt idx="0">
                  <c:v>TRUCK</c:v>
                </c:pt>
                <c:pt idx="1">
                  <c:v>FOB</c:v>
                </c:pt>
                <c:pt idx="2">
                  <c:v>MAIL</c:v>
                </c:pt>
                <c:pt idx="3">
                  <c:v>RAIL</c:v>
                </c:pt>
                <c:pt idx="4">
                  <c:v>SHIP</c:v>
                </c:pt>
                <c:pt idx="5">
                  <c:v>REG AIR</c:v>
                </c:pt>
                <c:pt idx="6">
                  <c:v>AIR</c:v>
                </c:pt>
              </c:strCache>
            </c:strRef>
          </c:cat>
          <c:val>
            <c:numRef>
              <c:f>delivery_delay_analysis!$C$2:$C$8</c:f>
              <c:numCache>
                <c:formatCode>General</c:formatCode>
                <c:ptCount val="7"/>
                <c:pt idx="0">
                  <c:v>1.1499999999999999</c:v>
                </c:pt>
                <c:pt idx="1">
                  <c:v>1.32</c:v>
                </c:pt>
                <c:pt idx="2">
                  <c:v>1.21</c:v>
                </c:pt>
                <c:pt idx="3">
                  <c:v>0.72</c:v>
                </c:pt>
                <c:pt idx="4">
                  <c:v>0.88</c:v>
                </c:pt>
                <c:pt idx="5">
                  <c:v>0.44</c:v>
                </c:pt>
                <c:pt idx="6">
                  <c:v>1.18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B0-AE4A-926F-649BF3665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5675904"/>
        <c:axId val="1648055104"/>
      </c:barChart>
      <c:catAx>
        <c:axId val="162567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055104"/>
        <c:crosses val="autoZero"/>
        <c:auto val="1"/>
        <c:lblAlgn val="ctr"/>
        <c:lblOffset val="100"/>
        <c:noMultiLvlLbl val="0"/>
      </c:catAx>
      <c:valAx>
        <c:axId val="164805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67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Number of Delayed Shipments and Total Days Delayed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delivery_delay_analysis!$B$1</c:f>
              <c:strCache>
                <c:ptCount val="1"/>
                <c:pt idx="0">
                  <c:v>delayed_count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delivery_delay_analysis!$A$2:$A$8</c:f>
              <c:strCache>
                <c:ptCount val="7"/>
                <c:pt idx="0">
                  <c:v>TRUCK</c:v>
                </c:pt>
                <c:pt idx="1">
                  <c:v>FOB</c:v>
                </c:pt>
                <c:pt idx="2">
                  <c:v>MAIL</c:v>
                </c:pt>
                <c:pt idx="3">
                  <c:v>RAIL</c:v>
                </c:pt>
                <c:pt idx="4">
                  <c:v>SHIP</c:v>
                </c:pt>
                <c:pt idx="5">
                  <c:v>REG AIR</c:v>
                </c:pt>
                <c:pt idx="6">
                  <c:v>AIR</c:v>
                </c:pt>
              </c:strCache>
            </c:strRef>
          </c:cat>
          <c:val>
            <c:numRef>
              <c:f>delivery_delay_analysis!$B$2:$B$8</c:f>
              <c:numCache>
                <c:formatCode>General</c:formatCode>
                <c:ptCount val="7"/>
                <c:pt idx="0">
                  <c:v>4426</c:v>
                </c:pt>
                <c:pt idx="1">
                  <c:v>4418</c:v>
                </c:pt>
                <c:pt idx="2">
                  <c:v>4386</c:v>
                </c:pt>
                <c:pt idx="3">
                  <c:v>4321</c:v>
                </c:pt>
                <c:pt idx="4">
                  <c:v>4302</c:v>
                </c:pt>
                <c:pt idx="5">
                  <c:v>4302</c:v>
                </c:pt>
                <c:pt idx="6">
                  <c:v>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6-F349-8E08-AE411CF5B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05237952"/>
        <c:axId val="1705236608"/>
      </c:barChart>
      <c:catAx>
        <c:axId val="170523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236608"/>
        <c:crosses val="autoZero"/>
        <c:auto val="1"/>
        <c:lblAlgn val="ctr"/>
        <c:lblOffset val="100"/>
        <c:noMultiLvlLbl val="0"/>
      </c:catAx>
      <c:valAx>
        <c:axId val="170523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23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Revenue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annual_revenue!$A$1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annual_revenue!$A$2:$A$8</c:f>
              <c:numCache>
                <c:formatCode>General</c:formatCode>
                <c:ptCount val="7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C8-F54F-A301-E354232AE15D}"/>
            </c:ext>
          </c:extLst>
        </c:ser>
        <c:ser>
          <c:idx val="1"/>
          <c:order val="1"/>
          <c:tx>
            <c:strRef>
              <c:f>annual_revenue!$B$1</c:f>
              <c:strCache>
                <c:ptCount val="1"/>
                <c:pt idx="0">
                  <c:v>total_revenue</c:v>
                </c:pt>
              </c:strCache>
            </c:strRef>
          </c:tx>
          <c:spPr>
            <a:ln w="28575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annual_revenue!$B$2:$B$8</c:f>
              <c:numCache>
                <c:formatCode>General</c:formatCode>
                <c:ptCount val="7"/>
                <c:pt idx="0">
                  <c:v>308482375.33999997</c:v>
                </c:pt>
                <c:pt idx="1">
                  <c:v>316544935.44</c:v>
                </c:pt>
                <c:pt idx="2">
                  <c:v>316270913.18000001</c:v>
                </c:pt>
                <c:pt idx="3">
                  <c:v>303910494.10000002</c:v>
                </c:pt>
                <c:pt idx="4">
                  <c:v>311928357.77999997</c:v>
                </c:pt>
                <c:pt idx="5">
                  <c:v>307992639.49000001</c:v>
                </c:pt>
                <c:pt idx="6">
                  <c:v>180005226.75999999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8-F54F-A301-E354232AE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2065728"/>
        <c:axId val="1724021632"/>
      </c:lineChart>
      <c:catAx>
        <c:axId val="170206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021632"/>
        <c:crosses val="autoZero"/>
        <c:auto val="1"/>
        <c:lblAlgn val="ctr"/>
        <c:lblOffset val="100"/>
        <c:noMultiLvlLbl val="0"/>
      </c:catAx>
      <c:valAx>
        <c:axId val="172402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06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[data_analysis_tpch.xlsx]Dashboard!PivotTable2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</a:t>
            </a:r>
            <a:r>
              <a:rPr lang="en-US" baseline="0"/>
              <a:t> Revenue %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Dashboard!$R$5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D8E-DE46-BA8E-28A1038B7A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D8E-DE46-BA8E-28A1038B7A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D8E-DE46-BA8E-28A1038B7A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D8E-DE46-BA8E-28A1038B7A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D8E-DE46-BA8E-28A1038B7A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Dashboard!$Q$6:$Q$11</c:f>
              <c:strCache>
                <c:ptCount val="5"/>
                <c:pt idx="0">
                  <c:v>AFRICA</c:v>
                </c:pt>
                <c:pt idx="1">
                  <c:v>AMERICA</c:v>
                </c:pt>
                <c:pt idx="2">
                  <c:v>ASIA</c:v>
                </c:pt>
                <c:pt idx="3">
                  <c:v>EUROPE</c:v>
                </c:pt>
                <c:pt idx="4">
                  <c:v>MIDDLE EAST</c:v>
                </c:pt>
              </c:strCache>
            </c:strRef>
          </c:cat>
          <c:val>
            <c:numRef>
              <c:f>Dashboard!$R$6:$R$11</c:f>
              <c:numCache>
                <c:formatCode>0.00%</c:formatCode>
                <c:ptCount val="5"/>
                <c:pt idx="0">
                  <c:v>0.19751363284002285</c:v>
                </c:pt>
                <c:pt idx="1">
                  <c:v>0.19634960250503578</c:v>
                </c:pt>
                <c:pt idx="2">
                  <c:v>0.20171703780607791</c:v>
                </c:pt>
                <c:pt idx="3">
                  <c:v>0.20741256949973183</c:v>
                </c:pt>
                <c:pt idx="4">
                  <c:v>0.19700715734913163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0-ED4A-80D7-7B683B849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Number of Delayed Shipments and Total Days Delayed</a:t>
            </a:r>
          </a:p>
        </c:rich>
      </c:tx>
      <c:layout>
        <c:manualLayout>
          <c:xMode val="edge"/>
          <c:yMode val="edge"/>
          <c:x val="0.1187667897304581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delivery_delay_analysis!$B$1</c:f>
              <c:strCache>
                <c:ptCount val="1"/>
                <c:pt idx="0">
                  <c:v>delayed_count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delivery_delay_analysis!$A$2:$A$8</c:f>
              <c:strCache>
                <c:ptCount val="7"/>
                <c:pt idx="0">
                  <c:v>TRUCK</c:v>
                </c:pt>
                <c:pt idx="1">
                  <c:v>FOB</c:v>
                </c:pt>
                <c:pt idx="2">
                  <c:v>MAIL</c:v>
                </c:pt>
                <c:pt idx="3">
                  <c:v>RAIL</c:v>
                </c:pt>
                <c:pt idx="4">
                  <c:v>SHIP</c:v>
                </c:pt>
                <c:pt idx="5">
                  <c:v>REG AIR</c:v>
                </c:pt>
                <c:pt idx="6">
                  <c:v>AIR</c:v>
                </c:pt>
              </c:strCache>
            </c:strRef>
          </c:cat>
          <c:val>
            <c:numRef>
              <c:f>delivery_delay_analysis!$B$2:$B$8</c:f>
              <c:numCache>
                <c:formatCode>General</c:formatCode>
                <c:ptCount val="7"/>
                <c:pt idx="0">
                  <c:v>4426</c:v>
                </c:pt>
                <c:pt idx="1">
                  <c:v>4418</c:v>
                </c:pt>
                <c:pt idx="2">
                  <c:v>4386</c:v>
                </c:pt>
                <c:pt idx="3">
                  <c:v>4321</c:v>
                </c:pt>
                <c:pt idx="4">
                  <c:v>4302</c:v>
                </c:pt>
                <c:pt idx="5">
                  <c:v>4302</c:v>
                </c:pt>
                <c:pt idx="6">
                  <c:v>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5-DC46-842E-974A4EE4B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05237952"/>
        <c:axId val="1705236608"/>
      </c:barChart>
      <c:lineChart>
        <c:grouping val="standard"/>
        <c:varyColors val="0"/>
        <c:ser>
          <c:idx val="1"/>
          <c:order val="1"/>
          <c:tx>
            <c:strRef>
              <c:f>delivery_delay_analysis!$C$1</c:f>
              <c:strCache>
                <c:ptCount val="1"/>
                <c:pt idx="0">
                  <c:v>avg_delay_days</c:v>
                </c:pt>
              </c:strCache>
            </c:strRef>
          </c:tx>
          <c:spPr>
            <a:ln w="28575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delivery_delay_analysis!$A$2:$A$8</c:f>
              <c:strCache>
                <c:ptCount val="7"/>
                <c:pt idx="0">
                  <c:v>TRUCK</c:v>
                </c:pt>
                <c:pt idx="1">
                  <c:v>FOB</c:v>
                </c:pt>
                <c:pt idx="2">
                  <c:v>MAIL</c:v>
                </c:pt>
                <c:pt idx="3">
                  <c:v>RAIL</c:v>
                </c:pt>
                <c:pt idx="4">
                  <c:v>SHIP</c:v>
                </c:pt>
                <c:pt idx="5">
                  <c:v>REG AIR</c:v>
                </c:pt>
                <c:pt idx="6">
                  <c:v>AIR</c:v>
                </c:pt>
              </c:strCache>
            </c:strRef>
          </c:cat>
          <c:val>
            <c:numRef>
              <c:f>delivery_delay_analysis!$D$2:$D$8</c:f>
              <c:numCache>
                <c:formatCode>General</c:formatCode>
                <c:ptCount val="7"/>
                <c:pt idx="0">
                  <c:v>5089.8999999999996</c:v>
                </c:pt>
                <c:pt idx="1">
                  <c:v>5831.76</c:v>
                </c:pt>
                <c:pt idx="2">
                  <c:v>5307.0599999999995</c:v>
                </c:pt>
                <c:pt idx="3">
                  <c:v>3111.12</c:v>
                </c:pt>
                <c:pt idx="4">
                  <c:v>3785.76</c:v>
                </c:pt>
                <c:pt idx="5">
                  <c:v>1892.88</c:v>
                </c:pt>
                <c:pt idx="6">
                  <c:v>5074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75-DC46-842E-974A4EE4B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5161856"/>
        <c:axId val="1779224960"/>
      </c:lineChart>
      <c:catAx>
        <c:axId val="170523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236608"/>
        <c:crosses val="autoZero"/>
        <c:auto val="1"/>
        <c:lblAlgn val="ctr"/>
        <c:lblOffset val="100"/>
        <c:noMultiLvlLbl val="0"/>
      </c:catAx>
      <c:valAx>
        <c:axId val="170523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237952"/>
        <c:crosses val="autoZero"/>
        <c:crossBetween val="between"/>
      </c:valAx>
      <c:valAx>
        <c:axId val="17792249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61856"/>
        <c:crosses val="max"/>
        <c:crossBetween val="between"/>
      </c:valAx>
      <c:catAx>
        <c:axId val="1705161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792249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 modes over mean total delay</a:t>
            </a:r>
            <a:r>
              <a:rPr lang="en-US" baseline="0"/>
              <a:t> impact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Dashboard!$H$7</c:f>
              <c:strCache>
                <c:ptCount val="1"/>
                <c:pt idx="0">
                  <c:v>total 
delay 
impact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Dashboard!$G$8:$G$14</c:f>
              <c:strCache>
                <c:ptCount val="7"/>
                <c:pt idx="0">
                  <c:v>REG AIR</c:v>
                </c:pt>
                <c:pt idx="1">
                  <c:v>TRUCK</c:v>
                </c:pt>
                <c:pt idx="2">
                  <c:v>RAIL</c:v>
                </c:pt>
                <c:pt idx="3">
                  <c:v>SHIP</c:v>
                </c:pt>
                <c:pt idx="4">
                  <c:v>MAIL</c:v>
                </c:pt>
                <c:pt idx="5">
                  <c:v>FOB</c:v>
                </c:pt>
                <c:pt idx="6">
                  <c:v>AIR</c:v>
                </c:pt>
              </c:strCache>
            </c:strRef>
          </c:cat>
          <c:val>
            <c:numRef>
              <c:f>Dashboard!$H$8:$H$14</c:f>
              <c:numCache>
                <c:formatCode>0.00%</c:formatCode>
                <c:ptCount val="7"/>
                <c:pt idx="0">
                  <c:v>6.2902093812141777E-2</c:v>
                </c:pt>
                <c:pt idx="1">
                  <c:v>0.16914192515871074</c:v>
                </c:pt>
                <c:pt idx="2">
                  <c:v>0.10338529758929806</c:v>
                </c:pt>
                <c:pt idx="3">
                  <c:v>0.12580418762428355</c:v>
                </c:pt>
                <c:pt idx="4">
                  <c:v>0.17635834600538072</c:v>
                </c:pt>
                <c:pt idx="5">
                  <c:v>0.19379459585916484</c:v>
                </c:pt>
                <c:pt idx="6">
                  <c:v>0.16861355395102032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EB-EE4B-810A-115ECCB0D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4038463"/>
        <c:axId val="1454039807"/>
      </c:barChart>
      <c:catAx>
        <c:axId val="1454038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039807"/>
        <c:crosses val="autoZero"/>
        <c:auto val="1"/>
        <c:lblAlgn val="ctr"/>
        <c:lblOffset val="100"/>
        <c:noMultiLvlLbl val="0"/>
      </c:catAx>
      <c:valAx>
        <c:axId val="145403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038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27215</xdr:colOff>
      <xdr:row>0</xdr:row>
      <xdr:rowOff>199571</xdr:rowOff>
    </xdr:from>
    <xdr:to>
      <xdr:col>8</xdr:col>
      <xdr:colOff>0</xdr:colOff>
      <xdr:row>15</xdr:row>
      <xdr:rowOff>9072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5B87C3-8965-0EFE-FBA9-CEC777CE3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1</xdr:row>
      <xdr:rowOff>143510</xdr:rowOff>
    </xdr:from>
    <xdr:to>
      <xdr:col>10</xdr:col>
      <xdr:colOff>650240</xdr:colOff>
      <xdr:row>15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8C18D0-63CB-6A9B-EFFE-933DC187D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167640</xdr:colOff>
      <xdr:row>15</xdr:row>
      <xdr:rowOff>167640</xdr:rowOff>
    </xdr:from>
    <xdr:to>
      <xdr:col>10</xdr:col>
      <xdr:colOff>624840</xdr:colOff>
      <xdr:row>29</xdr:row>
      <xdr:rowOff>66040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9EEA5F-0EBE-EEEC-C74C-0B102B474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11440</xdr:colOff>
      <xdr:row>15</xdr:row>
      <xdr:rowOff>16361</xdr:rowOff>
    </xdr:from>
    <xdr:to>
      <xdr:col>2</xdr:col>
      <xdr:colOff>3546</xdr:colOff>
      <xdr:row>28</xdr:row>
      <xdr:rowOff>146107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CE4076-38AA-9B4E-814A-9737B3C559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11442</xdr:colOff>
      <xdr:row>13</xdr:row>
      <xdr:rowOff>34325</xdr:rowOff>
    </xdr:from>
    <xdr:to>
      <xdr:col>17</xdr:col>
      <xdr:colOff>2093784</xdr:colOff>
      <xdr:row>25</xdr:row>
      <xdr:rowOff>164528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C53C23-B3E8-5427-B052-EE98FE2A2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663605</xdr:colOff>
      <xdr:row>17</xdr:row>
      <xdr:rowOff>150091</xdr:rowOff>
    </xdr:from>
    <xdr:to>
      <xdr:col>7</xdr:col>
      <xdr:colOff>658092</xdr:colOff>
      <xdr:row>31</xdr:row>
      <xdr:rowOff>23646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3434E64-7141-4A46-99AF-B1AA0B5773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866551</xdr:colOff>
      <xdr:row>17</xdr:row>
      <xdr:rowOff>161638</xdr:rowOff>
    </xdr:from>
    <xdr:to>
      <xdr:col>9</xdr:col>
      <xdr:colOff>138546</xdr:colOff>
      <xdr:row>31</xdr:row>
      <xdr:rowOff>23092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9B2CCAF-3584-76DA-4153-4B6CAD79A3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914176</xdr:colOff>
      <xdr:row>24</xdr:row>
      <xdr:rowOff>155865</xdr:rowOff>
    </xdr:from>
    <xdr:to>
      <xdr:col>9</xdr:col>
      <xdr:colOff>186171</xdr:colOff>
      <xdr:row>24</xdr:row>
      <xdr:rowOff>155865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9CD06022-948B-B634-6600-D9893B5B9AE9}"/>
            </a:ext>
          </a:extLst>
        </xdr:cNvPr>
        <xdr:cNvCxnSpPr/>
      </xdr:nvCxnSpPr>
      <xdr:spPr>
        <a:xfrm>
          <a:off x="10677301" y="6045490"/>
          <a:ext cx="301849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ur Khan" refreshedDate="46067.789883217592" createdVersion="8" refreshedVersion="8" minRefreshableVersion="3" recordCount="7" xr:uid="{35C6E83F-99E0-2E4B-9DBE-775A92F88A26}">
  <cacheSource type="worksheet">
    <worksheetSource name="annual_revenue"/>
  </cacheSource>
  <cacheFields count="2">
    <cacheField name="year" numFmtId="0">
      <sharedItems containsSemiMixedTypes="0" containsString="0" containsNumber="1" containsInteger="1" minValue="1992" maxValue="1998" count="7">
        <n v="1992"/>
        <n v="1993"/>
        <n v="1994"/>
        <n v="1995"/>
        <n v="1996"/>
        <n v="1997"/>
        <n v="1998"/>
      </sharedItems>
    </cacheField>
    <cacheField name="total_revenue" numFmtId="0">
      <sharedItems containsSemiMixedTypes="0" containsString="0" containsNumber="1" minValue="180005226.75999999" maxValue="316544935.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ur Khan" refreshedDate="46067.811659837964" createdVersion="8" refreshedVersion="8" minRefreshableVersion="3" recordCount="5" xr:uid="{00809156-0624-F14F-91E3-AAD36AF8A99B}">
  <cacheSource type="worksheet">
    <worksheetSource name="top_suppliers"/>
  </cacheSource>
  <cacheFields count="6">
    <cacheField name="region" numFmtId="0">
      <sharedItems count="5">
        <s v="AFRICA"/>
        <s v="AMERICA"/>
        <s v="ASIA"/>
        <s v="EUROPE"/>
        <s v="MIDDLE EAST"/>
      </sharedItems>
    </cacheField>
    <cacheField name="supplier" numFmtId="0">
      <sharedItems/>
    </cacheField>
    <cacheField name="revenue" numFmtId="0">
      <sharedItems containsSemiMixedTypes="0" containsString="0" containsNumber="1" minValue="21724380.420000002" maxValue="22948401.760000002"/>
    </cacheField>
    <cacheField name="rank" numFmtId="0">
      <sharedItems containsSemiMixedTypes="0" containsString="0" containsNumber="1" containsInteger="1" minValue="1" maxValue="1"/>
    </cacheField>
    <cacheField name="Revenue % by Region" numFmtId="10">
      <sharedItems containsSemiMixedTypes="0" containsString="0" containsNumber="1" minValue="0.19634960250503578" maxValue="0.20741256949973183" count="5">
        <n v="0.19751363284002285"/>
        <n v="0.19634960250503578"/>
        <n v="0.20171703780607791"/>
        <n v="0.20741256949973183"/>
        <n v="0.19700715734913163"/>
      </sharedItems>
    </cacheField>
    <cacheField name="Field1" numFmtId="0" formula="0" databaseField="0"/>
  </cacheFields>
  <extLst>
    <ext xmlns:x14="http://schemas.microsoft.com/office/spreadsheetml/2009/9/main" uri="{725AE2AE-9491-48be-B2B4-4EB974FC3084}">
      <x14:pivotCacheDefinition pivotCacheId="9091832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308482375.33999997"/>
  </r>
  <r>
    <x v="1"/>
    <n v="316544935.44"/>
  </r>
  <r>
    <x v="2"/>
    <n v="316270913.18000001"/>
  </r>
  <r>
    <x v="3"/>
    <n v="303910494.10000002"/>
  </r>
  <r>
    <x v="4"/>
    <n v="311928357.77999997"/>
  </r>
  <r>
    <x v="5"/>
    <n v="307992639.49000001"/>
  </r>
  <r>
    <x v="6"/>
    <n v="180005226.75999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Supplier#000000028"/>
    <n v="21853170.280000001"/>
    <n v="1"/>
    <x v="0"/>
  </r>
  <r>
    <x v="1"/>
    <s v="Supplier#000000084"/>
    <n v="21724380.420000002"/>
    <n v="1"/>
    <x v="1"/>
  </r>
  <r>
    <x v="2"/>
    <s v="Supplier#000000075"/>
    <n v="22318240.579999998"/>
    <n v="1"/>
    <x v="2"/>
  </r>
  <r>
    <x v="3"/>
    <s v="Supplier#000000090"/>
    <n v="22948401.760000002"/>
    <n v="1"/>
    <x v="3"/>
  </r>
  <r>
    <x v="4"/>
    <s v="Supplier#000000038"/>
    <n v="21797133.16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C5EE50-EA1E-974F-910C-6F980FEA3A7D}" name="PivotTable2" cacheId="1" applyNumberFormats="0" applyBorderFormats="0" applyFontFormats="0" applyPatternFormats="0" applyAlignmentFormats="0" applyWidthHeightFormats="1" dataCaption="Values" grandTotalCaption="Average" updatedVersion="8" minRefreshableVersion="3" useAutoFormatting="1" itemPrintTitles="1" createdVersion="8" indent="0" outline="1" outlineData="1" multipleFieldFilters="0" chartFormat="4" rowHeaderCaption="Region">
  <location ref="Q5:R11" firstHeaderRow="1" firstDataRow="1" firstDataCol="1"/>
  <pivotFields count="6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numFmtId="10" showAll="0">
      <items count="6">
        <item x="1"/>
        <item x="4"/>
        <item x="0"/>
        <item x="2"/>
        <item x="3"/>
        <item t="default"/>
      </items>
    </pivotField>
    <pivotField dragToRow="0" dragToCol="0" dragToPage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Revenue % by Region" fld="4" subtotal="average" baseField="0" baseItem="0" numFmtId="10"/>
  </dataFields>
  <formats count="1">
    <format dxfId="13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72707E-526B-7845-8850-8871A7906F6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>
  <location ref="A7:B15" firstHeaderRow="1" firstDataRow="1" firstDataCol="1"/>
  <pivotFields count="2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revenue" fld="1" baseField="0" baseItem="0"/>
  </dataFields>
  <formats count="4">
    <format dxfId="17">
      <pivotArea field="0" type="button" dataOnly="0" labelOnly="1" outline="0" axis="axisRow" fieldPosition="0"/>
    </format>
    <format dxfId="16">
      <pivotArea dataOnly="0" labelOnly="1" outline="0" axis="axisValues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1FF95D-0529-A844-B8CA-8F8FDF23661A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total_reven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8502CB7-353D-EC41-A2B7-DF6F26A232FE}" autoFormatId="16" applyNumberFormats="0" applyBorderFormats="0" applyFontFormats="0" applyPatternFormats="0" applyAlignmentFormats="0" applyWidthHeightFormats="0">
  <queryTableRefresh nextId="4">
    <queryTableFields count="3">
      <queryTableField id="1" name="ship_mode" tableColumnId="1"/>
      <queryTableField id="2" name="shipment_count" tableColumnId="2"/>
      <queryTableField id="3" name="total_revenu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5BA108B3-FE01-0F46-91E1-A9A6B93D0CED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ship_mode" tableColumnId="1"/>
      <queryTableField id="2" name="delayed_count" tableColumnId="2"/>
      <queryTableField id="3" name="avg_delay_days" tableColumnId="3"/>
      <queryTableField id="4" dataBound="0" tableColumnId="4"/>
      <queryTableField id="5" dataBound="0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3550E5F4-765C-0645-A4CF-FD26AE74D826}" autoFormatId="16" applyNumberFormats="0" applyBorderFormats="0" applyFontFormats="0" applyPatternFormats="0" applyAlignmentFormats="0" applyWidthHeightFormats="0">
  <queryTableRefresh nextId="4">
    <queryTableFields count="3">
      <queryTableField id="1" name="C_CUSTKEY" tableColumnId="1"/>
      <queryTableField id="2" name="C_NAME" tableColumnId="2"/>
      <queryTableField id="3" name="total_spent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202C55F-EF7F-DA4D-B1C8-0C1FE1AAE1FC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region" tableColumnId="1"/>
      <queryTableField id="2" name="supplier" tableColumnId="2"/>
      <queryTableField id="3" name="revenue" tableColumnId="3"/>
      <queryTableField id="4" name="rank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8249DF-B404-194F-B1D0-E9121BF5A784}" name="annual_revenue" displayName="annual_revenue" ref="A1:B9" tableType="queryTable" totalsRowCount="1">
  <autoFilter ref="A1:B8" xr:uid="{E78249DF-B404-194F-B1D0-E9121BF5A784}"/>
  <tableColumns count="2">
    <tableColumn id="1" xr3:uid="{C562F301-1D32-6540-9522-77FDFBD4EDC6}" uniqueName="1" name="year" queryTableFieldId="1"/>
    <tableColumn id="2" xr3:uid="{F0384928-3595-FE49-96E7-545DF27814E6}" uniqueName="2" name="total_revenue" queryTableFieldId="2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3FA9CC-DBE5-894C-9125-5488D8123EE6}" name="shipmode_analysis" displayName="shipmode_analysis" ref="A1:C8" tableType="queryTable" totalsRowShown="0">
  <autoFilter ref="A1:C8" xr:uid="{753FA9CC-DBE5-894C-9125-5488D8123EE6}"/>
  <tableColumns count="3">
    <tableColumn id="1" xr3:uid="{5E7EE9D0-5E51-AF42-9671-119AC5F5D0BD}" uniqueName="1" name="ship_mode" queryTableFieldId="1" dataDxfId="27"/>
    <tableColumn id="2" xr3:uid="{C77FD124-EE00-474A-9EFA-F40AAAA9A4A8}" uniqueName="2" name="shipment_count" queryTableFieldId="2"/>
    <tableColumn id="3" xr3:uid="{8E338C52-3199-2F4E-9478-4129ECB916E6}" uniqueName="3" name="total_revenue" queryTableFieldId="3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D6A7EE-AF9F-4945-B475-29906C0048BA}" name="delivery_delay_analysis" displayName="delivery_delay_analysis" ref="A1:E8" tableType="queryTable" totalsRowShown="0">
  <autoFilter ref="A1:E8" xr:uid="{1DD6A7EE-AF9F-4945-B475-29906C0048BA}"/>
  <tableColumns count="5">
    <tableColumn id="1" xr3:uid="{52929839-0237-0942-B1FA-FA9CC7618657}" uniqueName="1" name="ship_mode" queryTableFieldId="1" dataDxfId="26"/>
    <tableColumn id="2" xr3:uid="{CB0CABB5-039E-5B4B-92F8-87F6B836B3AB}" uniqueName="2" name="delayed_count" queryTableFieldId="2"/>
    <tableColumn id="3" xr3:uid="{BDB1200A-C6F9-D949-9F4D-CB480BBAEF37}" uniqueName="3" name="avg_delay_days" queryTableFieldId="3"/>
    <tableColumn id="4" xr3:uid="{CAED915A-2363-4F49-8029-BA213002A853}" uniqueName="4" name="total_delay_days" queryTableFieldId="4" dataDxfId="25">
      <calculatedColumnFormula>delivery_delay_analysis[[#This Row],[delayed_count]]*delivery_delay_analysis[[#This Row],[avg_delay_days]]</calculatedColumnFormula>
    </tableColumn>
    <tableColumn id="5" xr3:uid="{12508CE1-32BD-7E48-B01B-BC1CC8F02501}" uniqueName="5" name="impact" queryTableFieldId="5" dataDxfId="24">
      <calculatedColumnFormula>delivery_delay_analysis[[#This Row],[total_delay_days]]/SUM(delivery_delay_analysis[total_delay_days])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48DF31-46A5-CE44-9AA5-FE3CA98DC0E1}" name="top_customers" displayName="top_customers" ref="A1:C11" tableType="queryTable" totalsRowShown="0">
  <autoFilter ref="A1:C11" xr:uid="{E048DF31-46A5-CE44-9AA5-FE3CA98DC0E1}"/>
  <tableColumns count="3">
    <tableColumn id="1" xr3:uid="{44592B59-65AE-C04C-A0C4-2F05805D4334}" uniqueName="1" name="C_CUSTKEY" queryTableFieldId="1"/>
    <tableColumn id="2" xr3:uid="{CB96DBEF-21E5-0D47-AA42-1B7D71CBDD19}" uniqueName="2" name="C_NAME" queryTableFieldId="2" dataDxfId="23"/>
    <tableColumn id="3" xr3:uid="{1CD117CB-A688-3E4B-B4BC-A821C1AB3CF5}" uniqueName="3" name="total_spent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E6C0B9-5EF8-8C42-BC22-1E7F4C4D3E34}" name="top_suppliers" displayName="top_suppliers" ref="A1:E7" tableType="queryTable" totalsRowCount="1">
  <autoFilter ref="A1:E6" xr:uid="{48E6C0B9-5EF8-8C42-BC22-1E7F4C4D3E34}"/>
  <tableColumns count="5">
    <tableColumn id="1" xr3:uid="{FD9588B4-028E-454F-937A-ADA4CF9CED49}" uniqueName="1" name="region" queryTableFieldId="1" dataDxfId="22" totalsRowDxfId="21"/>
    <tableColumn id="2" xr3:uid="{36CC561B-19F6-1B40-B09B-FCAF702E7170}" uniqueName="2" name="supplier" queryTableFieldId="2" dataDxfId="20" totalsRowDxfId="19"/>
    <tableColumn id="3" xr3:uid="{8D8677AB-3330-F942-A193-95809B574D14}" uniqueName="3" name="revenue" totalsRowFunction="custom" queryTableFieldId="3">
      <totalsRowFormula>SUM(top_suppliers[revenue])</totalsRowFormula>
    </tableColumn>
    <tableColumn id="4" xr3:uid="{C11E6F8A-3335-C845-BD1F-52B677923885}" uniqueName="4" name="rank" queryTableFieldId="4"/>
    <tableColumn id="5" xr3:uid="{282853E3-FC0A-F844-9F06-3C01BD914474}" uniqueName="5" name="Revenue % by Region" queryTableFieldId="5" dataDxfId="18">
      <calculatedColumnFormula>C2/top_suppliers[[#Totals],[revenue]]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01B01E8-E277-C447-B28F-54E50E0B5DD8}" name="Table6" displayName="Table6" ref="D5:E11" totalsRowShown="0">
  <autoFilter ref="D5:E11" xr:uid="{801B01E8-E277-C447-B28F-54E50E0B5DD8}"/>
  <tableColumns count="2">
    <tableColumn id="1" xr3:uid="{D8F39025-0878-384C-A3AA-54521D664F5E}" name="Year" dataDxfId="12"/>
    <tableColumn id="2" xr3:uid="{223B1F11-A89E-A846-8B31-EC1E428A9BE0}" name="Growth %" dataDxfId="11">
      <calculatedColumnFormula>annual_revenue!B18</calculatedColumnFormula>
    </tableColumn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8E250A0-7F75-3743-9AFB-A5D1EA9F6770}" name="Table7" displayName="Table7" ref="D16:E23" totalsRowShown="0" headerRowDxfId="10">
  <autoFilter ref="D16:E23" xr:uid="{88E250A0-7F75-3743-9AFB-A5D1EA9F6770}"/>
  <tableColumns count="2">
    <tableColumn id="1" xr3:uid="{A8D34284-A5C3-2E44-8E40-9265D82428DB}" name="Year" dataDxfId="9"/>
    <tableColumn id="2" xr3:uid="{286E5145-79A7-6E46-AC11-7FFADF8E0930}" name="Expected Revenue?" dataDxfId="8">
      <calculatedColumnFormula>IF(annual_revenue!B2 &gt; Dashboard!$D$14, "YES", "NO")</calculatedColumnFormula>
    </tableColumn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C25C563-2642-994D-995D-CAF841BB90EA}" name="Table8" displayName="Table8" ref="G7:L17" totalsRowShown="0" headerRowDxfId="7" tableBorderDxfId="6">
  <autoFilter ref="G7:L17" xr:uid="{3C25C563-2642-994D-995D-CAF841BB90EA}"/>
  <sortState xmlns:xlrd2="http://schemas.microsoft.com/office/spreadsheetml/2017/richdata2" ref="G8:L17">
    <sortCondition ref="L7:L17"/>
  </sortState>
  <tableColumns count="6">
    <tableColumn id="1" xr3:uid="{C9C3DE5E-BC86-A64E-8C55-E159BD6F1EB3}" name="ship_mode" dataDxfId="5"/>
    <tableColumn id="2" xr3:uid="{7F6ED71F-4B80-DD44-99EE-4D67A3F50598}" name="total _x000a_delay _x000a_impact" dataDxfId="4">
      <calculatedColumnFormula>delivery_delay_analysis!E2</calculatedColumnFormula>
    </tableColumn>
    <tableColumn id="3" xr3:uid="{611FC2BF-19D8-5B41-8080-03938B7F5406}" name="revenue _x000a_per _x000a_shipment" dataDxfId="3">
      <calculatedColumnFormula>'Shipment Optimization'!E2</calculatedColumnFormula>
    </tableColumn>
    <tableColumn id="4" xr3:uid="{D108E06D-9E52-A947-8DAB-81DC41AC1CCB}" name="risk_x000a_adjusted_x000a_revenue" dataDxfId="2">
      <calculatedColumnFormula>'Shipment Optimization'!F2</calculatedColumnFormula>
    </tableColumn>
    <tableColumn id="5" xr3:uid="{A19975DE-1E2F-8440-88B8-5DF17CBCBE09}" name="optimization_score" dataDxfId="1"/>
    <tableColumn id="6" xr3:uid="{5E610DB9-5CA6-F04D-945D-D984145E6DEB}" name="rank by _x000a_operational efficiency" dataDxfId="0">
      <calculatedColumnFormula>'Shipment Optimization'!H2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5CF4B-CE76-BF4C-8FA5-8B98478928BB}">
  <dimension ref="A1:B23"/>
  <sheetViews>
    <sheetView zoomScale="140" zoomScaleNormal="140" workbookViewId="0">
      <selection activeCell="A2" sqref="A2:A8"/>
    </sheetView>
  </sheetViews>
  <sheetFormatPr baseColWidth="10" defaultRowHeight="16" x14ac:dyDescent="0.2"/>
  <cols>
    <col min="1" max="1" width="7.1640625" bestFit="1" customWidth="1"/>
    <col min="2" max="2" width="14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1992</v>
      </c>
      <c r="B2">
        <v>308482375.33999997</v>
      </c>
    </row>
    <row r="3" spans="1:2" x14ac:dyDescent="0.2">
      <c r="A3">
        <v>1993</v>
      </c>
      <c r="B3">
        <v>316544935.44</v>
      </c>
    </row>
    <row r="4" spans="1:2" x14ac:dyDescent="0.2">
      <c r="A4">
        <v>1994</v>
      </c>
      <c r="B4">
        <v>316270913.18000001</v>
      </c>
    </row>
    <row r="5" spans="1:2" x14ac:dyDescent="0.2">
      <c r="A5">
        <v>1995</v>
      </c>
      <c r="B5">
        <v>303910494.10000002</v>
      </c>
    </row>
    <row r="6" spans="1:2" x14ac:dyDescent="0.2">
      <c r="A6">
        <v>1996</v>
      </c>
      <c r="B6">
        <v>311928357.77999997</v>
      </c>
    </row>
    <row r="7" spans="1:2" x14ac:dyDescent="0.2">
      <c r="A7">
        <v>1997</v>
      </c>
      <c r="B7">
        <v>307992639.49000001</v>
      </c>
    </row>
    <row r="8" spans="1:2" x14ac:dyDescent="0.2">
      <c r="A8">
        <v>1998</v>
      </c>
      <c r="B8">
        <v>180005226.75999999</v>
      </c>
    </row>
    <row r="17" spans="2:2" x14ac:dyDescent="0.2">
      <c r="B17" t="s">
        <v>43</v>
      </c>
    </row>
    <row r="18" spans="2:2" x14ac:dyDescent="0.2">
      <c r="B18" s="5">
        <f>(B3-B2)/B2</f>
        <v>2.613620986000809E-2</v>
      </c>
    </row>
    <row r="19" spans="2:2" x14ac:dyDescent="0.2">
      <c r="B19" s="5">
        <f t="shared" ref="B19:B23" si="0">(B4-B3)/B3</f>
        <v>-8.6566622719487626E-4</v>
      </c>
    </row>
    <row r="20" spans="2:2" x14ac:dyDescent="0.2">
      <c r="B20" s="5">
        <f t="shared" si="0"/>
        <v>-3.9081744684391094E-2</v>
      </c>
    </row>
    <row r="21" spans="2:2" x14ac:dyDescent="0.2">
      <c r="B21" s="5">
        <f t="shared" si="0"/>
        <v>2.6382319254042327E-2</v>
      </c>
    </row>
    <row r="22" spans="2:2" x14ac:dyDescent="0.2">
      <c r="B22" s="5">
        <f t="shared" si="0"/>
        <v>-1.2617378932811828E-2</v>
      </c>
    </row>
    <row r="23" spans="2:2" x14ac:dyDescent="0.2">
      <c r="B23" s="5">
        <f t="shared" si="0"/>
        <v>-0.4155534786218667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9CD87-947A-1E4A-931A-BC8AED44891F}">
  <dimension ref="A1:C8"/>
  <sheetViews>
    <sheetView workbookViewId="0">
      <selection activeCell="A2" sqref="A2:A8"/>
    </sheetView>
  </sheetViews>
  <sheetFormatPr baseColWidth="10" defaultRowHeight="16" x14ac:dyDescent="0.2"/>
  <cols>
    <col min="1" max="1" width="12.6640625" bestFit="1" customWidth="1"/>
    <col min="2" max="2" width="17" bestFit="1" customWidth="1"/>
    <col min="3" max="3" width="14.83203125" bestFit="1" customWidth="1"/>
  </cols>
  <sheetData>
    <row r="1" spans="1:3" x14ac:dyDescent="0.2">
      <c r="A1" t="s">
        <v>2</v>
      </c>
      <c r="B1" t="s">
        <v>3</v>
      </c>
      <c r="C1" t="s">
        <v>1</v>
      </c>
    </row>
    <row r="2" spans="1:3" x14ac:dyDescent="0.2">
      <c r="A2" t="s">
        <v>4</v>
      </c>
      <c r="B2">
        <v>8710</v>
      </c>
      <c r="C2">
        <v>297596971.05000001</v>
      </c>
    </row>
    <row r="3" spans="1:3" x14ac:dyDescent="0.2">
      <c r="A3" t="s">
        <v>5</v>
      </c>
      <c r="B3">
        <v>8669</v>
      </c>
      <c r="C3">
        <v>295057347.73000002</v>
      </c>
    </row>
    <row r="4" spans="1:3" x14ac:dyDescent="0.2">
      <c r="A4" t="s">
        <v>6</v>
      </c>
      <c r="B4">
        <v>8641</v>
      </c>
      <c r="C4">
        <v>292231642.52999997</v>
      </c>
    </row>
    <row r="5" spans="1:3" x14ac:dyDescent="0.2">
      <c r="A5" t="s">
        <v>7</v>
      </c>
      <c r="B5">
        <v>8616</v>
      </c>
      <c r="C5">
        <v>291508525.39999998</v>
      </c>
    </row>
    <row r="6" spans="1:3" x14ac:dyDescent="0.2">
      <c r="A6" t="s">
        <v>8</v>
      </c>
      <c r="B6">
        <v>8566</v>
      </c>
      <c r="C6">
        <v>289935768.19999999</v>
      </c>
    </row>
    <row r="7" spans="1:3" x14ac:dyDescent="0.2">
      <c r="A7" t="s">
        <v>9</v>
      </c>
      <c r="B7">
        <v>8491</v>
      </c>
      <c r="C7">
        <v>288119126.88</v>
      </c>
    </row>
    <row r="8" spans="1:3" x14ac:dyDescent="0.2">
      <c r="A8" t="s">
        <v>10</v>
      </c>
      <c r="B8">
        <v>8482</v>
      </c>
      <c r="C8">
        <v>290685560.30000001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E27F6-CBF5-3645-B4FC-E03A130B32AC}">
  <dimension ref="A1:H8"/>
  <sheetViews>
    <sheetView zoomScale="130" zoomScaleNormal="130" workbookViewId="0">
      <selection activeCell="D2" sqref="D2"/>
    </sheetView>
  </sheetViews>
  <sheetFormatPr baseColWidth="10" defaultRowHeight="16" x14ac:dyDescent="0.2"/>
  <cols>
    <col min="1" max="1" width="10" bestFit="1" customWidth="1"/>
    <col min="2" max="2" width="14.33203125" bestFit="1" customWidth="1"/>
    <col min="3" max="3" width="12.33203125" bestFit="1" customWidth="1"/>
    <col min="4" max="4" width="12.1640625" bestFit="1" customWidth="1"/>
    <col min="5" max="5" width="20" bestFit="1" customWidth="1"/>
    <col min="6" max="6" width="19.6640625" bestFit="1" customWidth="1"/>
    <col min="7" max="7" width="22.5" customWidth="1"/>
  </cols>
  <sheetData>
    <row r="1" spans="1:8" x14ac:dyDescent="0.2">
      <c r="A1" t="s">
        <v>2</v>
      </c>
      <c r="B1" t="s">
        <v>3</v>
      </c>
      <c r="C1" t="s">
        <v>1</v>
      </c>
      <c r="D1" t="s">
        <v>67</v>
      </c>
      <c r="E1" t="s">
        <v>68</v>
      </c>
      <c r="F1" t="s">
        <v>69</v>
      </c>
      <c r="G1" t="s">
        <v>70</v>
      </c>
      <c r="H1" t="s">
        <v>14</v>
      </c>
    </row>
    <row r="2" spans="1:8" x14ac:dyDescent="0.2">
      <c r="A2" s="11" t="s">
        <v>7</v>
      </c>
      <c r="B2">
        <f>_xlfn.XLOOKUP(A2, shipmode_analysis[ship_mode], shipmode_analysis[shipment_count])</f>
        <v>8616</v>
      </c>
      <c r="C2">
        <f>_xlfn.XLOOKUP(A2, shipmode_analysis[ship_mode], shipmode_analysis[total_revenue])</f>
        <v>291508525.39999998</v>
      </c>
      <c r="D2">
        <f>_xlfn.XLOOKUP(A2,delivery_delay_analysis[ship_mode],delivery_delay_analysis[impact])</f>
        <v>6.2902093812141777E-2</v>
      </c>
      <c r="E2">
        <f t="shared" ref="E2:E8" si="0">C2 / B2</f>
        <v>33833.394312906217</v>
      </c>
      <c r="F2">
        <f t="shared" ref="F2:F8" si="1">C2 * (1 - D2)</f>
        <v>273172028.78825009</v>
      </c>
      <c r="G2">
        <f t="shared" ref="G2:G8" si="2">(C2*0.5) + (F2*0.3) + (E2*0.2)</f>
        <v>227712638.01533759</v>
      </c>
      <c r="H2">
        <f t="shared" ref="H2:H8" si="3">RANK(G2, $G$2:$G$8)</f>
        <v>1</v>
      </c>
    </row>
    <row r="3" spans="1:8" x14ac:dyDescent="0.2">
      <c r="A3" s="11" t="s">
        <v>4</v>
      </c>
      <c r="B3">
        <f>_xlfn.XLOOKUP(A3, shipmode_analysis[ship_mode], shipmode_analysis[shipment_count])</f>
        <v>8710</v>
      </c>
      <c r="C3">
        <f>_xlfn.XLOOKUP(A3, shipmode_analysis[ship_mode], shipmode_analysis[total_revenue])</f>
        <v>297596971.05000001</v>
      </c>
      <c r="D3">
        <f>_xlfn.XLOOKUP(A3,delivery_delay_analysis[ship_mode],delivery_delay_analysis[impact])</f>
        <v>0.16914192515871074</v>
      </c>
      <c r="E3">
        <f t="shared" si="0"/>
        <v>34167.275665901267</v>
      </c>
      <c r="F3">
        <f t="shared" si="1"/>
        <v>247260846.4452019</v>
      </c>
      <c r="G3">
        <f t="shared" si="2"/>
        <v>222983572.91369376</v>
      </c>
      <c r="H3">
        <f t="shared" si="3"/>
        <v>2</v>
      </c>
    </row>
    <row r="4" spans="1:8" x14ac:dyDescent="0.2">
      <c r="A4" s="11" t="s">
        <v>8</v>
      </c>
      <c r="B4">
        <f>_xlfn.XLOOKUP(A4, shipmode_analysis[ship_mode], shipmode_analysis[shipment_count])</f>
        <v>8566</v>
      </c>
      <c r="C4">
        <f>_xlfn.XLOOKUP(A4, shipmode_analysis[ship_mode], shipmode_analysis[total_revenue])</f>
        <v>289935768.19999999</v>
      </c>
      <c r="D4">
        <f>_xlfn.XLOOKUP(A4,delivery_delay_analysis[ship_mode],delivery_delay_analysis[impact])</f>
        <v>0.10338529758929806</v>
      </c>
      <c r="E4">
        <f t="shared" si="0"/>
        <v>33847.276231613352</v>
      </c>
      <c r="F4">
        <f t="shared" si="1"/>
        <v>259960672.52286124</v>
      </c>
      <c r="G4">
        <f t="shared" si="2"/>
        <v>222962855.3121047</v>
      </c>
      <c r="H4">
        <f t="shared" si="3"/>
        <v>3</v>
      </c>
    </row>
    <row r="5" spans="1:8" x14ac:dyDescent="0.2">
      <c r="A5" s="11" t="s">
        <v>10</v>
      </c>
      <c r="B5">
        <f>_xlfn.XLOOKUP(A5, shipmode_analysis[ship_mode], shipmode_analysis[shipment_count])</f>
        <v>8482</v>
      </c>
      <c r="C5">
        <f>_xlfn.XLOOKUP(A5, shipmode_analysis[ship_mode], shipmode_analysis[total_revenue])</f>
        <v>290685560.30000001</v>
      </c>
      <c r="D5">
        <f>_xlfn.XLOOKUP(A5,delivery_delay_analysis[ship_mode],delivery_delay_analysis[impact])</f>
        <v>0.12580418762428355</v>
      </c>
      <c r="E5">
        <f t="shared" si="0"/>
        <v>34270.874829049753</v>
      </c>
      <c r="F5">
        <f t="shared" si="1"/>
        <v>254116099.53234881</v>
      </c>
      <c r="G5">
        <f t="shared" si="2"/>
        <v>221584464.18467045</v>
      </c>
      <c r="H5">
        <f t="shared" si="3"/>
        <v>4</v>
      </c>
    </row>
    <row r="6" spans="1:8" x14ac:dyDescent="0.2">
      <c r="A6" s="11" t="s">
        <v>5</v>
      </c>
      <c r="B6">
        <f>_xlfn.XLOOKUP(A6, shipmode_analysis[ship_mode], shipmode_analysis[shipment_count])</f>
        <v>8669</v>
      </c>
      <c r="C6">
        <f>_xlfn.XLOOKUP(A6, shipmode_analysis[ship_mode], shipmode_analysis[total_revenue])</f>
        <v>295057347.73000002</v>
      </c>
      <c r="D6">
        <f>_xlfn.XLOOKUP(A6,delivery_delay_analysis[ship_mode],delivery_delay_analysis[impact])</f>
        <v>0.17635834600538072</v>
      </c>
      <c r="E6">
        <f t="shared" si="0"/>
        <v>34035.915068635368</v>
      </c>
      <c r="F6">
        <f t="shared" si="1"/>
        <v>243021521.90760276</v>
      </c>
      <c r="G6">
        <f t="shared" si="2"/>
        <v>220441937.62029457</v>
      </c>
      <c r="H6">
        <f t="shared" si="3"/>
        <v>5</v>
      </c>
    </row>
    <row r="7" spans="1:8" x14ac:dyDescent="0.2">
      <c r="A7" s="11" t="s">
        <v>6</v>
      </c>
      <c r="B7">
        <f>_xlfn.XLOOKUP(A7, shipmode_analysis[ship_mode], shipmode_analysis[shipment_count])</f>
        <v>8641</v>
      </c>
      <c r="C7">
        <f>_xlfn.XLOOKUP(A7, shipmode_analysis[ship_mode], shipmode_analysis[total_revenue])</f>
        <v>292231642.52999997</v>
      </c>
      <c r="D7">
        <f>_xlfn.XLOOKUP(A7,delivery_delay_analysis[ship_mode],delivery_delay_analysis[impact])</f>
        <v>0.19379459585916484</v>
      </c>
      <c r="E7">
        <f t="shared" si="0"/>
        <v>33819.192515912509</v>
      </c>
      <c r="F7">
        <f t="shared" si="1"/>
        <v>235598729.46863872</v>
      </c>
      <c r="G7">
        <f t="shared" si="2"/>
        <v>216802203.94409478</v>
      </c>
      <c r="H7">
        <f t="shared" si="3"/>
        <v>6</v>
      </c>
    </row>
    <row r="8" spans="1:8" x14ac:dyDescent="0.2">
      <c r="A8" s="19" t="s">
        <v>9</v>
      </c>
      <c r="B8">
        <f>_xlfn.XLOOKUP(A8, shipmode_analysis[ship_mode], shipmode_analysis[shipment_count])</f>
        <v>8491</v>
      </c>
      <c r="C8">
        <f>_xlfn.XLOOKUP(A8, shipmode_analysis[ship_mode], shipmode_analysis[total_revenue])</f>
        <v>288119126.88</v>
      </c>
      <c r="D8">
        <f>_xlfn.XLOOKUP(A8,delivery_delay_analysis[ship_mode],delivery_delay_analysis[impact])</f>
        <v>0.16861355395102032</v>
      </c>
      <c r="E8">
        <f t="shared" si="0"/>
        <v>33932.296181839592</v>
      </c>
      <c r="F8">
        <f t="shared" si="1"/>
        <v>239538336.93549827</v>
      </c>
      <c r="G8">
        <f t="shared" si="2"/>
        <v>215927850.97988585</v>
      </c>
      <c r="H8">
        <f t="shared" si="3"/>
        <v>7</v>
      </c>
    </row>
  </sheetData>
  <sortState xmlns:xlrd2="http://schemas.microsoft.com/office/spreadsheetml/2017/richdata2" ref="A2:H8">
    <sortCondition ref="H2:H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6F2F8-78CC-2B42-92FE-89C69D5ECF6A}">
  <dimension ref="A1:E12"/>
  <sheetViews>
    <sheetView zoomScale="125" workbookViewId="0">
      <selection activeCell="E2" sqref="E2"/>
    </sheetView>
  </sheetViews>
  <sheetFormatPr baseColWidth="10" defaultRowHeight="16" x14ac:dyDescent="0.2"/>
  <cols>
    <col min="1" max="1" width="12.6640625" bestFit="1" customWidth="1"/>
    <col min="2" max="2" width="15.5" bestFit="1" customWidth="1"/>
    <col min="3" max="3" width="16.33203125" bestFit="1" customWidth="1"/>
  </cols>
  <sheetData>
    <row r="1" spans="1:5" x14ac:dyDescent="0.2">
      <c r="A1" t="s">
        <v>2</v>
      </c>
      <c r="B1" t="s">
        <v>38</v>
      </c>
      <c r="C1" t="s">
        <v>39</v>
      </c>
      <c r="D1" t="s">
        <v>63</v>
      </c>
      <c r="E1" t="s">
        <v>64</v>
      </c>
    </row>
    <row r="2" spans="1:5" x14ac:dyDescent="0.2">
      <c r="A2" t="s">
        <v>4</v>
      </c>
      <c r="B2">
        <v>4426</v>
      </c>
      <c r="C2">
        <v>1.1499999999999999</v>
      </c>
      <c r="D2">
        <f>delivery_delay_analysis[[#This Row],[delayed_count]]*delivery_delay_analysis[[#This Row],[avg_delay_days]]</f>
        <v>5089.8999999999996</v>
      </c>
      <c r="E2" s="8">
        <f>delivery_delay_analysis[[#This Row],[total_delay_days]]/SUM(delivery_delay_analysis[total_delay_days])</f>
        <v>0.16914192515871074</v>
      </c>
    </row>
    <row r="3" spans="1:5" x14ac:dyDescent="0.2">
      <c r="A3" t="s">
        <v>6</v>
      </c>
      <c r="B3">
        <v>4418</v>
      </c>
      <c r="C3">
        <v>1.32</v>
      </c>
      <c r="D3">
        <f>delivery_delay_analysis[[#This Row],[delayed_count]]*delivery_delay_analysis[[#This Row],[avg_delay_days]]</f>
        <v>5831.76</v>
      </c>
      <c r="E3" s="8">
        <f>delivery_delay_analysis[[#This Row],[total_delay_days]]/SUM(delivery_delay_analysis[total_delay_days])</f>
        <v>0.19379459585916484</v>
      </c>
    </row>
    <row r="4" spans="1:5" x14ac:dyDescent="0.2">
      <c r="A4" t="s">
        <v>5</v>
      </c>
      <c r="B4">
        <v>4386</v>
      </c>
      <c r="C4">
        <v>1.21</v>
      </c>
      <c r="D4">
        <f>delivery_delay_analysis[[#This Row],[delayed_count]]*delivery_delay_analysis[[#This Row],[avg_delay_days]]</f>
        <v>5307.0599999999995</v>
      </c>
      <c r="E4" s="8">
        <f>delivery_delay_analysis[[#This Row],[total_delay_days]]/SUM(delivery_delay_analysis[total_delay_days])</f>
        <v>0.17635834600538072</v>
      </c>
    </row>
    <row r="5" spans="1:5" x14ac:dyDescent="0.2">
      <c r="A5" t="s">
        <v>8</v>
      </c>
      <c r="B5">
        <v>4321</v>
      </c>
      <c r="C5">
        <v>0.72</v>
      </c>
      <c r="D5">
        <f>delivery_delay_analysis[[#This Row],[delayed_count]]*delivery_delay_analysis[[#This Row],[avg_delay_days]]</f>
        <v>3111.12</v>
      </c>
      <c r="E5" s="8">
        <f>delivery_delay_analysis[[#This Row],[total_delay_days]]/SUM(delivery_delay_analysis[total_delay_days])</f>
        <v>0.10338529758929806</v>
      </c>
    </row>
    <row r="6" spans="1:5" x14ac:dyDescent="0.2">
      <c r="A6" t="s">
        <v>10</v>
      </c>
      <c r="B6">
        <v>4302</v>
      </c>
      <c r="C6">
        <v>0.88</v>
      </c>
      <c r="D6">
        <f>delivery_delay_analysis[[#This Row],[delayed_count]]*delivery_delay_analysis[[#This Row],[avg_delay_days]]</f>
        <v>3785.76</v>
      </c>
      <c r="E6" s="8">
        <f>delivery_delay_analysis[[#This Row],[total_delay_days]]/SUM(delivery_delay_analysis[total_delay_days])</f>
        <v>0.12580418762428355</v>
      </c>
    </row>
    <row r="7" spans="1:5" x14ac:dyDescent="0.2">
      <c r="A7" t="s">
        <v>7</v>
      </c>
      <c r="B7">
        <v>4302</v>
      </c>
      <c r="C7">
        <v>0.44</v>
      </c>
      <c r="D7">
        <f>delivery_delay_analysis[[#This Row],[delayed_count]]*delivery_delay_analysis[[#This Row],[avg_delay_days]]</f>
        <v>1892.88</v>
      </c>
      <c r="E7" s="8">
        <f>delivery_delay_analysis[[#This Row],[total_delay_days]]/SUM(delivery_delay_analysis[total_delay_days])</f>
        <v>6.2902093812141777E-2</v>
      </c>
    </row>
    <row r="8" spans="1:5" x14ac:dyDescent="0.2">
      <c r="A8" t="s">
        <v>9</v>
      </c>
      <c r="B8">
        <v>4300</v>
      </c>
      <c r="C8">
        <v>1.18</v>
      </c>
      <c r="D8">
        <f>delivery_delay_analysis[[#This Row],[delayed_count]]*delivery_delay_analysis[[#This Row],[avg_delay_days]]</f>
        <v>5074</v>
      </c>
      <c r="E8" s="8">
        <f>delivery_delay_analysis[[#This Row],[total_delay_days]]/SUM(delivery_delay_analysis[total_delay_days])</f>
        <v>0.16861355395102032</v>
      </c>
    </row>
    <row r="12" spans="1:5" x14ac:dyDescent="0.2">
      <c r="C12" s="7">
        <f>AVERAGE(delivery_delay_analysis[avg_delay_days])</f>
        <v>0.98571428571428565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44DC0-4869-F14A-B0DD-6FF36A810F7F}">
  <dimension ref="A1:C11"/>
  <sheetViews>
    <sheetView workbookViewId="0"/>
  </sheetViews>
  <sheetFormatPr baseColWidth="10" defaultRowHeight="16" x14ac:dyDescent="0.2"/>
  <cols>
    <col min="1" max="1" width="13.33203125" bestFit="1" customWidth="1"/>
    <col min="2" max="2" width="19.33203125" bestFit="1" customWidth="1"/>
    <col min="3" max="3" width="13" bestFit="1" customWidth="1"/>
  </cols>
  <sheetData>
    <row r="1" spans="1:3" x14ac:dyDescent="0.2">
      <c r="A1" t="s">
        <v>25</v>
      </c>
      <c r="B1" t="s">
        <v>26</v>
      </c>
      <c r="C1" t="s">
        <v>27</v>
      </c>
    </row>
    <row r="2" spans="1:3" x14ac:dyDescent="0.2">
      <c r="A2">
        <v>1489</v>
      </c>
      <c r="B2" t="s">
        <v>28</v>
      </c>
      <c r="C2">
        <v>5203674.05</v>
      </c>
    </row>
    <row r="3" spans="1:3" x14ac:dyDescent="0.2">
      <c r="A3">
        <v>214</v>
      </c>
      <c r="B3" t="s">
        <v>29</v>
      </c>
      <c r="C3">
        <v>4503703.9000000004</v>
      </c>
    </row>
    <row r="4" spans="1:3" x14ac:dyDescent="0.2">
      <c r="A4">
        <v>73</v>
      </c>
      <c r="B4" t="s">
        <v>30</v>
      </c>
      <c r="C4">
        <v>4466381.05</v>
      </c>
    </row>
    <row r="5" spans="1:3" x14ac:dyDescent="0.2">
      <c r="A5">
        <v>1246</v>
      </c>
      <c r="B5" t="s">
        <v>31</v>
      </c>
      <c r="C5">
        <v>4465335.62</v>
      </c>
    </row>
    <row r="6" spans="1:3" x14ac:dyDescent="0.2">
      <c r="A6">
        <v>1396</v>
      </c>
      <c r="B6" t="s">
        <v>32</v>
      </c>
      <c r="C6">
        <v>4455381.82</v>
      </c>
    </row>
    <row r="7" spans="1:3" x14ac:dyDescent="0.2">
      <c r="A7">
        <v>643</v>
      </c>
      <c r="B7" t="s">
        <v>33</v>
      </c>
      <c r="C7">
        <v>4363442.67</v>
      </c>
    </row>
    <row r="8" spans="1:3" x14ac:dyDescent="0.2">
      <c r="A8">
        <v>1318</v>
      </c>
      <c r="B8" t="s">
        <v>34</v>
      </c>
      <c r="C8">
        <v>4342036.82</v>
      </c>
    </row>
    <row r="9" spans="1:3" x14ac:dyDescent="0.2">
      <c r="A9">
        <v>1150</v>
      </c>
      <c r="B9" t="s">
        <v>35</v>
      </c>
      <c r="C9">
        <v>4331675.6399999997</v>
      </c>
    </row>
    <row r="10" spans="1:3" x14ac:dyDescent="0.2">
      <c r="A10">
        <v>898</v>
      </c>
      <c r="B10" t="s">
        <v>36</v>
      </c>
      <c r="C10">
        <v>4305984.9000000004</v>
      </c>
    </row>
    <row r="11" spans="1:3" x14ac:dyDescent="0.2">
      <c r="A11">
        <v>943</v>
      </c>
      <c r="B11" t="s">
        <v>37</v>
      </c>
      <c r="C11">
        <v>4278887.7300000004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9831-5F11-1B44-BC8D-FC85C7F260C5}">
  <dimension ref="A1:E7"/>
  <sheetViews>
    <sheetView workbookViewId="0">
      <selection activeCell="G4" sqref="G4"/>
    </sheetView>
  </sheetViews>
  <sheetFormatPr baseColWidth="10" defaultRowHeight="16" x14ac:dyDescent="0.2"/>
  <cols>
    <col min="1" max="1" width="11.83203125" bestFit="1" customWidth="1"/>
    <col min="2" max="2" width="18" bestFit="1" customWidth="1"/>
    <col min="3" max="3" width="12.1640625" bestFit="1" customWidth="1"/>
    <col min="4" max="4" width="7.33203125" bestFit="1" customWidth="1"/>
  </cols>
  <sheetData>
    <row r="1" spans="1:5" x14ac:dyDescent="0.2">
      <c r="A1" t="s">
        <v>11</v>
      </c>
      <c r="B1" t="s">
        <v>12</v>
      </c>
      <c r="C1" t="s">
        <v>13</v>
      </c>
      <c r="D1" t="s">
        <v>14</v>
      </c>
      <c r="E1" t="s">
        <v>47</v>
      </c>
    </row>
    <row r="2" spans="1:5" x14ac:dyDescent="0.2">
      <c r="A2" t="s">
        <v>15</v>
      </c>
      <c r="B2" t="s">
        <v>16</v>
      </c>
      <c r="C2">
        <v>21853170.280000001</v>
      </c>
      <c r="D2">
        <v>1</v>
      </c>
      <c r="E2" s="8">
        <f>C2/top_suppliers[[#Totals],[revenue]]</f>
        <v>0.19751363284002285</v>
      </c>
    </row>
    <row r="3" spans="1:5" x14ac:dyDescent="0.2">
      <c r="A3" t="s">
        <v>17</v>
      </c>
      <c r="B3" t="s">
        <v>18</v>
      </c>
      <c r="C3">
        <v>21724380.420000002</v>
      </c>
      <c r="D3">
        <v>1</v>
      </c>
      <c r="E3" s="8">
        <f>C3/top_suppliers[[#Totals],[revenue]]</f>
        <v>0.19634960250503578</v>
      </c>
    </row>
    <row r="4" spans="1:5" x14ac:dyDescent="0.2">
      <c r="A4" t="s">
        <v>19</v>
      </c>
      <c r="B4" t="s">
        <v>20</v>
      </c>
      <c r="C4">
        <v>22318240.579999998</v>
      </c>
      <c r="D4">
        <v>1</v>
      </c>
      <c r="E4" s="8">
        <f>C4/top_suppliers[[#Totals],[revenue]]</f>
        <v>0.20171703780607791</v>
      </c>
    </row>
    <row r="5" spans="1:5" x14ac:dyDescent="0.2">
      <c r="A5" t="s">
        <v>21</v>
      </c>
      <c r="B5" t="s">
        <v>22</v>
      </c>
      <c r="C5">
        <v>22948401.760000002</v>
      </c>
      <c r="D5">
        <v>1</v>
      </c>
      <c r="E5" s="8">
        <f>C5/top_suppliers[[#Totals],[revenue]]</f>
        <v>0.20741256949973183</v>
      </c>
    </row>
    <row r="6" spans="1:5" x14ac:dyDescent="0.2">
      <c r="A6" t="s">
        <v>23</v>
      </c>
      <c r="B6" t="s">
        <v>24</v>
      </c>
      <c r="C6">
        <v>21797133.16</v>
      </c>
      <c r="D6">
        <v>1</v>
      </c>
      <c r="E6" s="8">
        <f>C6/top_suppliers[[#Totals],[revenue]]</f>
        <v>0.19700715734913163</v>
      </c>
    </row>
    <row r="7" spans="1:5" x14ac:dyDescent="0.2">
      <c r="C7">
        <f>SUM(top_suppliers[revenue])</f>
        <v>110641326.2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F9480-65B8-B04C-87E9-0C01DFBD61E3}">
  <dimension ref="A4:S40"/>
  <sheetViews>
    <sheetView showGridLines="0" tabSelected="1" zoomScale="70" zoomScaleNormal="70" workbookViewId="0">
      <selection activeCell="E29" sqref="E29"/>
    </sheetView>
  </sheetViews>
  <sheetFormatPr baseColWidth="10" defaultRowHeight="16" x14ac:dyDescent="0.2"/>
  <cols>
    <col min="1" max="1" width="26.5" customWidth="1"/>
    <col min="2" max="2" width="20.33203125" customWidth="1"/>
    <col min="3" max="3" width="6.83203125" customWidth="1"/>
    <col min="4" max="4" width="12" customWidth="1"/>
    <col min="5" max="5" width="23.6640625" customWidth="1"/>
    <col min="6" max="6" width="8.83203125" customWidth="1"/>
    <col min="7" max="7" width="31.33203125" customWidth="1"/>
    <col min="8" max="8" width="24" customWidth="1"/>
    <col min="9" max="9" width="25.1640625" customWidth="1"/>
    <col min="10" max="10" width="18.33203125" customWidth="1"/>
    <col min="11" max="11" width="0.1640625" customWidth="1"/>
    <col min="12" max="12" width="19.6640625" customWidth="1"/>
    <col min="13" max="13" width="1.6640625" customWidth="1"/>
    <col min="14" max="14" width="12.1640625" hidden="1" customWidth="1"/>
    <col min="18" max="18" width="29.1640625" customWidth="1"/>
  </cols>
  <sheetData>
    <row r="4" spans="1:19" x14ac:dyDescent="0.2">
      <c r="A4" s="23" t="s">
        <v>61</v>
      </c>
      <c r="B4" s="23"/>
      <c r="D4" s="23" t="s">
        <v>44</v>
      </c>
      <c r="E4" s="23"/>
      <c r="G4" s="23" t="s">
        <v>45</v>
      </c>
      <c r="H4" s="23"/>
      <c r="I4" s="23"/>
      <c r="J4" s="23"/>
      <c r="K4" s="23"/>
      <c r="L4" s="23"/>
      <c r="P4" s="23" t="s">
        <v>46</v>
      </c>
      <c r="Q4" s="23"/>
      <c r="R4" s="23"/>
      <c r="S4" s="23"/>
    </row>
    <row r="5" spans="1:19" ht="24" customHeight="1" x14ac:dyDescent="0.3">
      <c r="A5" s="27">
        <f>SUM(annual_revenue[total_revenue])</f>
        <v>2045134942.0899999</v>
      </c>
      <c r="B5" s="27"/>
      <c r="D5" s="10" t="s">
        <v>42</v>
      </c>
      <c r="E5" s="6" t="s">
        <v>59</v>
      </c>
      <c r="G5" s="24">
        <f>AVERAGE(delivery_delay_analysis[avg_delay_days])</f>
        <v>0.98571428571428565</v>
      </c>
      <c r="H5" s="24"/>
      <c r="I5" s="24"/>
      <c r="J5" s="24"/>
      <c r="K5" s="24"/>
      <c r="L5" s="24"/>
      <c r="P5" s="3"/>
      <c r="Q5" s="1" t="s">
        <v>50</v>
      </c>
      <c r="R5" t="s">
        <v>48</v>
      </c>
      <c r="S5" s="28"/>
    </row>
    <row r="6" spans="1:19" ht="19" x14ac:dyDescent="0.25">
      <c r="D6" s="10" t="s">
        <v>54</v>
      </c>
      <c r="E6" s="6">
        <f>annual_revenue!B18</f>
        <v>2.613620986000809E-2</v>
      </c>
      <c r="Q6" s="2" t="s">
        <v>15</v>
      </c>
      <c r="R6" s="13">
        <v>0.19751363284002285</v>
      </c>
    </row>
    <row r="7" spans="1:19" ht="60" x14ac:dyDescent="0.25">
      <c r="A7" s="3" t="s">
        <v>42</v>
      </c>
      <c r="B7" s="3" t="s">
        <v>40</v>
      </c>
      <c r="D7" s="10" t="s">
        <v>55</v>
      </c>
      <c r="E7" s="6">
        <f>annual_revenue!B19</f>
        <v>-8.6566622719487626E-4</v>
      </c>
      <c r="G7" s="15" t="s">
        <v>2</v>
      </c>
      <c r="H7" s="22" t="s">
        <v>80</v>
      </c>
      <c r="I7" s="21" t="s">
        <v>79</v>
      </c>
      <c r="J7" s="21" t="s">
        <v>78</v>
      </c>
      <c r="K7" s="10" t="s">
        <v>70</v>
      </c>
      <c r="L7" s="21" t="s">
        <v>77</v>
      </c>
      <c r="Q7" s="2" t="s">
        <v>17</v>
      </c>
      <c r="R7" s="13">
        <v>0.19634960250503578</v>
      </c>
    </row>
    <row r="8" spans="1:19" ht="19" x14ac:dyDescent="0.25">
      <c r="A8" s="2">
        <v>1992</v>
      </c>
      <c r="B8">
        <v>308482375.33999997</v>
      </c>
      <c r="D8" s="10" t="s">
        <v>56</v>
      </c>
      <c r="E8" s="6">
        <f>annual_revenue!B20</f>
        <v>-3.9081744684391094E-2</v>
      </c>
      <c r="G8" s="11" t="s">
        <v>7</v>
      </c>
      <c r="H8" s="13">
        <f>'Shipment Optimization'!D2</f>
        <v>6.2902093812141777E-2</v>
      </c>
      <c r="I8">
        <f>'Shipment Optimization'!E2</f>
        <v>33833.394312906217</v>
      </c>
      <c r="J8">
        <f>'Shipment Optimization'!F2</f>
        <v>273172028.78825009</v>
      </c>
      <c r="L8">
        <f>'Shipment Optimization'!H2</f>
        <v>1</v>
      </c>
      <c r="Q8" s="2" t="s">
        <v>19</v>
      </c>
      <c r="R8" s="13">
        <v>0.20171703780607791</v>
      </c>
    </row>
    <row r="9" spans="1:19" ht="19" x14ac:dyDescent="0.25">
      <c r="A9" s="2">
        <v>1993</v>
      </c>
      <c r="B9">
        <v>316544935.44</v>
      </c>
      <c r="D9" s="10" t="s">
        <v>57</v>
      </c>
      <c r="E9" s="6">
        <f>annual_revenue!B21</f>
        <v>2.6382319254042327E-2</v>
      </c>
      <c r="G9" s="11" t="s">
        <v>4</v>
      </c>
      <c r="H9" s="13">
        <f>'Shipment Optimization'!D3</f>
        <v>0.16914192515871074</v>
      </c>
      <c r="I9">
        <f>'Shipment Optimization'!E3</f>
        <v>34167.275665901267</v>
      </c>
      <c r="J9">
        <f>'Shipment Optimization'!F3</f>
        <v>247260846.4452019</v>
      </c>
      <c r="L9">
        <f>'Shipment Optimization'!H3</f>
        <v>2</v>
      </c>
      <c r="Q9" s="2" t="s">
        <v>21</v>
      </c>
      <c r="R9" s="13">
        <v>0.20741256949973183</v>
      </c>
    </row>
    <row r="10" spans="1:19" ht="19" x14ac:dyDescent="0.25">
      <c r="A10" s="2">
        <v>1994</v>
      </c>
      <c r="B10">
        <v>316270913.18000001</v>
      </c>
      <c r="D10" s="10" t="s">
        <v>58</v>
      </c>
      <c r="E10" s="6">
        <f>annual_revenue!B22</f>
        <v>-1.2617378932811828E-2</v>
      </c>
      <c r="G10" s="11" t="s">
        <v>8</v>
      </c>
      <c r="H10" s="13">
        <f>'Shipment Optimization'!D4</f>
        <v>0.10338529758929806</v>
      </c>
      <c r="I10">
        <f>'Shipment Optimization'!E4</f>
        <v>33847.276231613352</v>
      </c>
      <c r="J10">
        <f>'Shipment Optimization'!F4</f>
        <v>259960672.52286124</v>
      </c>
      <c r="L10">
        <f>'Shipment Optimization'!H4</f>
        <v>3</v>
      </c>
      <c r="Q10" s="2" t="s">
        <v>23</v>
      </c>
      <c r="R10" s="13">
        <v>0.19700715734913163</v>
      </c>
    </row>
    <row r="11" spans="1:19" ht="19" x14ac:dyDescent="0.25">
      <c r="A11" s="2">
        <v>1995</v>
      </c>
      <c r="B11">
        <v>303910494.10000002</v>
      </c>
      <c r="D11" s="10" t="s">
        <v>53</v>
      </c>
      <c r="E11" s="6">
        <f>annual_revenue!B23</f>
        <v>-0.4155534786218667</v>
      </c>
      <c r="G11" s="11" t="s">
        <v>10</v>
      </c>
      <c r="H11" s="13">
        <f>'Shipment Optimization'!D5</f>
        <v>0.12580418762428355</v>
      </c>
      <c r="I11">
        <f>'Shipment Optimization'!E5</f>
        <v>34270.874829049753</v>
      </c>
      <c r="J11">
        <f>'Shipment Optimization'!F5</f>
        <v>254116099.53234881</v>
      </c>
      <c r="L11">
        <f>'Shipment Optimization'!H5</f>
        <v>4</v>
      </c>
      <c r="Q11" s="2" t="s">
        <v>49</v>
      </c>
      <c r="R11" s="13">
        <v>0.2</v>
      </c>
    </row>
    <row r="12" spans="1:19" x14ac:dyDescent="0.2">
      <c r="A12" s="2">
        <v>1996</v>
      </c>
      <c r="B12">
        <v>311928357.77999997</v>
      </c>
      <c r="G12" s="11" t="s">
        <v>5</v>
      </c>
      <c r="H12" s="13">
        <f>'Shipment Optimization'!D6</f>
        <v>0.17635834600538072</v>
      </c>
      <c r="I12">
        <f>'Shipment Optimization'!E6</f>
        <v>34035.915068635368</v>
      </c>
      <c r="J12">
        <f>'Shipment Optimization'!F6</f>
        <v>243021521.90760276</v>
      </c>
      <c r="L12">
        <f>'Shipment Optimization'!H6</f>
        <v>5</v>
      </c>
      <c r="Q12" s="9" t="s">
        <v>51</v>
      </c>
      <c r="R12" s="14" t="str">
        <f>_xlfn.XLOOKUP(MAX(R6:R10),R6:R10,Q6:Q10)</f>
        <v>EUROPE</v>
      </c>
    </row>
    <row r="13" spans="1:19" x14ac:dyDescent="0.2">
      <c r="A13" s="2">
        <v>1997</v>
      </c>
      <c r="B13">
        <v>307992639.49000001</v>
      </c>
      <c r="D13" s="25" t="s">
        <v>62</v>
      </c>
      <c r="E13" s="25"/>
      <c r="G13" s="11" t="s">
        <v>6</v>
      </c>
      <c r="H13" s="13">
        <f>'Shipment Optimization'!D7</f>
        <v>0.19379459585916484</v>
      </c>
      <c r="I13">
        <f>'Shipment Optimization'!E7</f>
        <v>33819.192515912509</v>
      </c>
      <c r="J13">
        <f>'Shipment Optimization'!F7</f>
        <v>235598729.46863872</v>
      </c>
      <c r="L13">
        <f>'Shipment Optimization'!H7</f>
        <v>6</v>
      </c>
      <c r="Q13" s="9" t="s">
        <v>52</v>
      </c>
      <c r="R13" s="14" t="str">
        <f>_xlfn.XLOOKUP(MIN(R6:R10),R6:R10,Q6:Q10)</f>
        <v>AMERICA</v>
      </c>
    </row>
    <row r="14" spans="1:19" ht="24" x14ac:dyDescent="0.3">
      <c r="A14" s="2">
        <v>1998</v>
      </c>
      <c r="B14">
        <v>180005226.75999999</v>
      </c>
      <c r="D14" s="26">
        <v>310000000</v>
      </c>
      <c r="E14" s="26"/>
      <c r="G14" s="19" t="s">
        <v>9</v>
      </c>
      <c r="H14" s="13">
        <f>'Shipment Optimization'!D8</f>
        <v>0.16861355395102032</v>
      </c>
      <c r="I14">
        <f>'Shipment Optimization'!E8</f>
        <v>33932.296181839592</v>
      </c>
      <c r="J14">
        <f>'Shipment Optimization'!F8</f>
        <v>239538336.93549827</v>
      </c>
      <c r="L14">
        <f>'Shipment Optimization'!H8</f>
        <v>7</v>
      </c>
    </row>
    <row r="15" spans="1:19" x14ac:dyDescent="0.2">
      <c r="A15" s="4" t="s">
        <v>41</v>
      </c>
      <c r="B15" s="3">
        <v>2045134942.0899999</v>
      </c>
      <c r="G15" s="18" t="s">
        <v>81</v>
      </c>
      <c r="H15" s="16">
        <f>STDEV(H8:H14)</f>
        <v>4.7104276066689703E-2</v>
      </c>
    </row>
    <row r="16" spans="1:19" ht="19" x14ac:dyDescent="0.25">
      <c r="D16" s="10" t="s">
        <v>42</v>
      </c>
      <c r="E16" s="10" t="s">
        <v>60</v>
      </c>
      <c r="G16" s="18" t="s">
        <v>66</v>
      </c>
      <c r="H16" s="16">
        <f>SUM(H8:H14) / COUNT(H8:H14)</f>
        <v>0.14285714285714285</v>
      </c>
    </row>
    <row r="17" spans="4:10" x14ac:dyDescent="0.2">
      <c r="D17" s="11">
        <v>1992</v>
      </c>
      <c r="E17" s="12" t="str">
        <f>IF(annual_revenue!B2 &gt; Dashboard!$D$14, "YES", "NO")</f>
        <v>NO</v>
      </c>
      <c r="G17" s="17" t="s">
        <v>65</v>
      </c>
      <c r="H17" s="16">
        <f>H15/H16</f>
        <v>0.32972993246682791</v>
      </c>
    </row>
    <row r="18" spans="4:10" x14ac:dyDescent="0.2">
      <c r="D18" s="11">
        <v>1993</v>
      </c>
      <c r="E18" s="12" t="str">
        <f>IF(annual_revenue!B3 &gt; Dashboard!$D$14, "YES", "NO")</f>
        <v>YES</v>
      </c>
    </row>
    <row r="19" spans="4:10" x14ac:dyDescent="0.2">
      <c r="D19" s="11">
        <v>1994</v>
      </c>
      <c r="E19" s="12" t="str">
        <f>IF(annual_revenue!B4 &gt; Dashboard!$D$14, "YES", "NO")</f>
        <v>YES</v>
      </c>
    </row>
    <row r="20" spans="4:10" x14ac:dyDescent="0.2">
      <c r="D20" s="11">
        <v>1995</v>
      </c>
      <c r="E20" s="12" t="str">
        <f>IF(annual_revenue!B5 &gt; Dashboard!$D$14, "YES", "NO")</f>
        <v>NO</v>
      </c>
    </row>
    <row r="21" spans="4:10" x14ac:dyDescent="0.2">
      <c r="D21" s="11">
        <v>1996</v>
      </c>
      <c r="E21" s="12" t="str">
        <f>IF(annual_revenue!B6 &gt; Dashboard!$D$14, "YES", "NO")</f>
        <v>YES</v>
      </c>
    </row>
    <row r="22" spans="4:10" x14ac:dyDescent="0.2">
      <c r="D22" s="11">
        <v>1997</v>
      </c>
      <c r="E22" s="12" t="str">
        <f>IF(annual_revenue!B7 &gt; Dashboard!$D$14, "YES", "NO")</f>
        <v>NO</v>
      </c>
    </row>
    <row r="23" spans="4:10" x14ac:dyDescent="0.2">
      <c r="D23" s="11">
        <v>1998</v>
      </c>
      <c r="E23" s="12" t="str">
        <f>IF(annual_revenue!B8 &gt; Dashboard!$D$14, "YES", "NO")</f>
        <v>NO</v>
      </c>
    </row>
    <row r="32" spans="4:10" ht="18" customHeight="1" x14ac:dyDescent="0.2">
      <c r="H32" s="20"/>
      <c r="I32" s="20"/>
      <c r="J32" s="20"/>
    </row>
    <row r="33" spans="7:10" x14ac:dyDescent="0.2">
      <c r="G33" s="20" t="s">
        <v>71</v>
      </c>
      <c r="H33" s="20"/>
      <c r="I33" s="20"/>
      <c r="J33" s="20"/>
    </row>
    <row r="34" spans="7:10" x14ac:dyDescent="0.2">
      <c r="G34" s="20" t="s">
        <v>72</v>
      </c>
      <c r="H34" s="20"/>
      <c r="I34" s="20"/>
      <c r="J34" s="20"/>
    </row>
    <row r="35" spans="7:10" x14ac:dyDescent="0.2">
      <c r="G35" s="20" t="s">
        <v>73</v>
      </c>
      <c r="H35" s="20"/>
      <c r="I35" s="20"/>
      <c r="J35" s="20"/>
    </row>
    <row r="36" spans="7:10" x14ac:dyDescent="0.2">
      <c r="G36" s="20" t="s">
        <v>74</v>
      </c>
      <c r="H36" s="20"/>
      <c r="I36" s="20"/>
      <c r="J36" s="20"/>
    </row>
    <row r="37" spans="7:10" x14ac:dyDescent="0.2">
      <c r="G37" s="20" t="s">
        <v>75</v>
      </c>
      <c r="H37" s="20"/>
      <c r="I37" s="20"/>
      <c r="J37" s="20"/>
    </row>
    <row r="38" spans="7:10" x14ac:dyDescent="0.2">
      <c r="G38" s="20" t="s">
        <v>76</v>
      </c>
      <c r="H38" s="20"/>
      <c r="I38" s="20"/>
      <c r="J38" s="20"/>
    </row>
    <row r="40" spans="7:10" x14ac:dyDescent="0.2">
      <c r="G40" s="20"/>
      <c r="H40" s="20"/>
      <c r="I40" s="20"/>
    </row>
  </sheetData>
  <mergeCells count="8">
    <mergeCell ref="A4:B4"/>
    <mergeCell ref="A5:B5"/>
    <mergeCell ref="D4:E4"/>
    <mergeCell ref="G4:L4"/>
    <mergeCell ref="G5:L5"/>
    <mergeCell ref="P4:S4"/>
    <mergeCell ref="D13:E13"/>
    <mergeCell ref="D14:E14"/>
  </mergeCells>
  <pageMargins left="0.7" right="0.7" top="0.75" bottom="0.75" header="0.3" footer="0.3"/>
  <pageSetup paperSize="9" orientation="portrait" horizontalDpi="0" verticalDpi="0"/>
  <drawing r:id="rId3"/>
  <tableParts count="3"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05DA51-8F53-474A-AF3C-3EFA478FF9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annual_revenue</vt:lpstr>
      <vt:lpstr>shipmode_analysis</vt:lpstr>
      <vt:lpstr>Shipment Optimization</vt:lpstr>
      <vt:lpstr>delivery_delay_analysis</vt:lpstr>
      <vt:lpstr>top_customers</vt:lpstr>
      <vt:lpstr>top_suppliers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Surur Khan</dc:creator>
  <cp:lastModifiedBy>Surur Khan</cp:lastModifiedBy>
  <dcterms:created xsi:type="dcterms:W3CDTF">2026-02-14T22:46:19Z</dcterms:created>
  <dcterms:modified xsi:type="dcterms:W3CDTF">2026-02-17T03:08:23Z</dcterms:modified>
</cp:coreProperties>
</file>